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ueduph.sharepoint.com/sites/EMDR_IAS_WMA2B_AY2025-2026/Shared Documents/General/"/>
    </mc:Choice>
  </mc:AlternateContent>
  <xr:revisionPtr revIDLastSave="9" documentId="13_ncr:1_{7AE7CA58-FDA9-BD40-AFF6-3CB4268C776E}" xr6:coauthVersionLast="47" xr6:coauthVersionMax="47" xr10:uidLastSave="{01FA9E2E-7916-4048-B18C-61B21E246845}"/>
  <bookViews>
    <workbookView xWindow="0" yWindow="500" windowWidth="33600" windowHeight="18920" tabRatio="682" firstSheet="3" xr2:uid="{00000000-000D-0000-FFFF-FFFF00000000}"/>
  </bookViews>
  <sheets>
    <sheet name="IO SHEET" sheetId="2" r:id="rId1"/>
    <sheet name="AVALANCHE EFFECT" sheetId="21" r:id="rId2"/>
    <sheet name="CiDi SHEET" sheetId="3" r:id="rId3"/>
    <sheet name="Kn" sheetId="4" r:id="rId4"/>
    <sheet name="R1" sheetId="5" r:id="rId5"/>
    <sheet name="R2" sheetId="6" r:id="rId6"/>
    <sheet name="R3" sheetId="7" r:id="rId7"/>
    <sheet name="R4" sheetId="8" r:id="rId8"/>
    <sheet name="R5" sheetId="9" r:id="rId9"/>
    <sheet name="R6" sheetId="10" r:id="rId10"/>
    <sheet name="R7" sheetId="11" r:id="rId11"/>
    <sheet name="R8" sheetId="12" r:id="rId12"/>
    <sheet name="R9" sheetId="13" r:id="rId13"/>
    <sheet name="R10" sheetId="14" r:id="rId14"/>
    <sheet name="R11" sheetId="15" r:id="rId15"/>
    <sheet name="R12" sheetId="16" r:id="rId16"/>
    <sheet name="R13" sheetId="17" r:id="rId17"/>
    <sheet name="R14" sheetId="18" r:id="rId18"/>
    <sheet name="R15" sheetId="19" r:id="rId19"/>
    <sheet name="R16" sheetId="20" r:id="rId20"/>
    <sheet name="TABLES" sheetId="1" r:id="rId21"/>
  </sheets>
  <definedNames>
    <definedName name="E_BIT">TABLES!$A$32:$G$39</definedName>
    <definedName name="INV_IP">TABLES!$A$100:$I$107</definedName>
    <definedName name="IP">TABLES!$A$22:$I$29</definedName>
    <definedName name="MESSAGE">'AVALANCHE EFFECT'!$GT$2:$GW$19</definedName>
    <definedName name="P">TABLES!$H$90:$L$97</definedName>
    <definedName name="PC_1">TABLES!$A$2:$H$9</definedName>
    <definedName name="PC_2">TABLES!$A$12:$G$19</definedName>
    <definedName name="RL">'IO SHEET'!$U$27:$X$43</definedName>
    <definedName name="S1_BOX">TABLES!$A$42:$Q$45</definedName>
    <definedName name="S2_BOX">TABLES!$A$48:$Q$51</definedName>
    <definedName name="S3_BOX">TABLES!$A$54:$Q$57</definedName>
    <definedName name="S4_BOX">TABLES!$A$60:$Q$63</definedName>
    <definedName name="S5_BOX">TABLES!$A$66:$Q$69</definedName>
    <definedName name="S6_BOX">TABLES!$A$72:$Q$75</definedName>
    <definedName name="S7_BOX">TABLES!$A$78:$Q$81</definedName>
    <definedName name="S8_BOX">TABLES!$A$84:$Q$87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4" l="1"/>
  <c r="BO35" i="21"/>
  <c r="DN36" i="21" s="1"/>
  <c r="BO33" i="21"/>
  <c r="BZ34" i="21" s="1"/>
  <c r="BO31" i="21"/>
  <c r="CY32" i="21" s="1"/>
  <c r="BO29" i="21"/>
  <c r="BO27" i="21"/>
  <c r="DF28" i="21" s="1"/>
  <c r="BO25" i="21"/>
  <c r="DZ26" i="21" s="1"/>
  <c r="BO23" i="21"/>
  <c r="DG24" i="21" s="1"/>
  <c r="BO21" i="21"/>
  <c r="BO19" i="21"/>
  <c r="DK20" i="21" s="1"/>
  <c r="BO17" i="21"/>
  <c r="DY18" i="21" s="1"/>
  <c r="BO15" i="21"/>
  <c r="DW16" i="21" s="1"/>
  <c r="BO13" i="21"/>
  <c r="BO11" i="21"/>
  <c r="DY12" i="21" s="1"/>
  <c r="BO9" i="21"/>
  <c r="DY10" i="21" s="1"/>
  <c r="BO7" i="21"/>
  <c r="DW8" i="21" s="1"/>
  <c r="BO5" i="21"/>
  <c r="BO3" i="21"/>
  <c r="BQ4" i="21" s="1"/>
  <c r="B35" i="21"/>
  <c r="BH36" i="21" s="1"/>
  <c r="B33" i="21"/>
  <c r="AW34" i="21" s="1"/>
  <c r="B31" i="21"/>
  <c r="B29" i="21"/>
  <c r="AK30" i="21" s="1"/>
  <c r="B27" i="21"/>
  <c r="BM28" i="21" s="1"/>
  <c r="B25" i="21"/>
  <c r="BH26" i="21" s="1"/>
  <c r="B23" i="21"/>
  <c r="B21" i="21"/>
  <c r="AX22" i="21" s="1"/>
  <c r="B19" i="21"/>
  <c r="BL20" i="21" s="1"/>
  <c r="B17" i="21"/>
  <c r="BJ18" i="21" s="1"/>
  <c r="B15" i="21"/>
  <c r="B13" i="21"/>
  <c r="BL14" i="21" s="1"/>
  <c r="B11" i="21"/>
  <c r="BL12" i="21" s="1"/>
  <c r="B9" i="21"/>
  <c r="BJ10" i="21" s="1"/>
  <c r="B7" i="21"/>
  <c r="B5" i="21"/>
  <c r="BL6" i="21" s="1"/>
  <c r="B3" i="21"/>
  <c r="D4" i="21" s="1"/>
  <c r="B6" i="21" l="1"/>
  <c r="GL12" i="21"/>
  <c r="DK12" i="21"/>
  <c r="AX14" i="21"/>
  <c r="DE4" i="21"/>
  <c r="AS30" i="21"/>
  <c r="AH6" i="21"/>
  <c r="BO20" i="21"/>
  <c r="DM4" i="21"/>
  <c r="CU12" i="21"/>
  <c r="V22" i="21"/>
  <c r="AX18" i="21"/>
  <c r="R10" i="21"/>
  <c r="CO4" i="21"/>
  <c r="AX6" i="21"/>
  <c r="AX10" i="21"/>
  <c r="B14" i="21"/>
  <c r="DK16" i="21"/>
  <c r="CU20" i="21"/>
  <c r="AB26" i="21"/>
  <c r="DK8" i="21"/>
  <c r="CE16" i="21"/>
  <c r="CI24" i="21"/>
  <c r="DU4" i="21"/>
  <c r="CE4" i="21"/>
  <c r="CE8" i="21"/>
  <c r="BO12" i="21"/>
  <c r="AH14" i="21"/>
  <c r="R18" i="21"/>
  <c r="DO20" i="21"/>
  <c r="BT28" i="21"/>
  <c r="CI8" i="21"/>
  <c r="DO8" i="21"/>
  <c r="V10" i="21"/>
  <c r="BB10" i="21"/>
  <c r="CI16" i="21"/>
  <c r="DO16" i="21"/>
  <c r="V18" i="21"/>
  <c r="BB18" i="21"/>
  <c r="CQ24" i="21"/>
  <c r="AM26" i="21"/>
  <c r="DQ32" i="21"/>
  <c r="BO8" i="21"/>
  <c r="CU8" i="21"/>
  <c r="B10" i="21"/>
  <c r="AH10" i="21"/>
  <c r="BO16" i="21"/>
  <c r="CU16" i="21"/>
  <c r="B18" i="21"/>
  <c r="AH18" i="21"/>
  <c r="DO24" i="21"/>
  <c r="L34" i="21"/>
  <c r="CW4" i="21"/>
  <c r="R6" i="21"/>
  <c r="BS8" i="21"/>
  <c r="CY8" i="21"/>
  <c r="F10" i="21"/>
  <c r="AL10" i="21"/>
  <c r="CE12" i="21"/>
  <c r="R14" i="21"/>
  <c r="BS16" i="21"/>
  <c r="CY16" i="21"/>
  <c r="F18" i="21"/>
  <c r="AL18" i="21"/>
  <c r="CE20" i="21"/>
  <c r="BB22" i="21"/>
  <c r="DW24" i="21"/>
  <c r="DM28" i="21"/>
  <c r="BW36" i="21"/>
  <c r="DS4" i="21"/>
  <c r="DC4" i="21"/>
  <c r="CM4" i="21"/>
  <c r="F6" i="21"/>
  <c r="AL6" i="21"/>
  <c r="BB6" i="21"/>
  <c r="CI12" i="21"/>
  <c r="CY12" i="21"/>
  <c r="F14" i="21"/>
  <c r="AL14" i="21"/>
  <c r="BB14" i="21"/>
  <c r="BS20" i="21"/>
  <c r="CI20" i="21"/>
  <c r="DW20" i="21"/>
  <c r="CD28" i="21"/>
  <c r="C30" i="21"/>
  <c r="BG30" i="21"/>
  <c r="CY36" i="21"/>
  <c r="DY4" i="21"/>
  <c r="DQ4" i="21"/>
  <c r="DI4" i="21"/>
  <c r="DA4" i="21"/>
  <c r="CS4" i="21"/>
  <c r="CK4" i="21"/>
  <c r="BW4" i="21"/>
  <c r="J6" i="21"/>
  <c r="Z6" i="21"/>
  <c r="AP6" i="21"/>
  <c r="BF6" i="21"/>
  <c r="BW8" i="21"/>
  <c r="CM8" i="21"/>
  <c r="DC8" i="21"/>
  <c r="DS8" i="21"/>
  <c r="J10" i="21"/>
  <c r="Z10" i="21"/>
  <c r="AP10" i="21"/>
  <c r="BF10" i="21"/>
  <c r="BW12" i="21"/>
  <c r="CM12" i="21"/>
  <c r="DC12" i="21"/>
  <c r="DS12" i="21"/>
  <c r="J14" i="21"/>
  <c r="Z14" i="21"/>
  <c r="AP14" i="21"/>
  <c r="BF14" i="21"/>
  <c r="BW16" i="21"/>
  <c r="CM16" i="21"/>
  <c r="DC16" i="21"/>
  <c r="DS16" i="21"/>
  <c r="J18" i="21"/>
  <c r="Z18" i="21"/>
  <c r="AP18" i="21"/>
  <c r="BF18" i="21"/>
  <c r="BW20" i="21"/>
  <c r="CM20" i="21"/>
  <c r="DC20" i="21"/>
  <c r="F22" i="21"/>
  <c r="AL22" i="21"/>
  <c r="BS24" i="21"/>
  <c r="CY24" i="21"/>
  <c r="G26" i="21"/>
  <c r="AW26" i="21"/>
  <c r="CO28" i="21"/>
  <c r="P30" i="21"/>
  <c r="CE32" i="21"/>
  <c r="AF34" i="21"/>
  <c r="DK4" i="21"/>
  <c r="CU4" i="21"/>
  <c r="CA4" i="21"/>
  <c r="V6" i="21"/>
  <c r="BS12" i="21"/>
  <c r="DO12" i="21"/>
  <c r="V14" i="21"/>
  <c r="CY20" i="21"/>
  <c r="AD22" i="21"/>
  <c r="BJ22" i="21"/>
  <c r="DW4" i="21"/>
  <c r="DO4" i="21"/>
  <c r="DG4" i="21"/>
  <c r="CY4" i="21"/>
  <c r="CQ4" i="21"/>
  <c r="CI4" i="21"/>
  <c r="BS4" i="21"/>
  <c r="N6" i="21"/>
  <c r="AD6" i="21"/>
  <c r="AT6" i="21"/>
  <c r="BJ6" i="21"/>
  <c r="CA8" i="21"/>
  <c r="CQ8" i="21"/>
  <c r="DG8" i="21"/>
  <c r="N10" i="21"/>
  <c r="AD10" i="21"/>
  <c r="AT10" i="21"/>
  <c r="CA12" i="21"/>
  <c r="CQ12" i="21"/>
  <c r="DG12" i="21"/>
  <c r="DW12" i="21"/>
  <c r="N14" i="21"/>
  <c r="AD14" i="21"/>
  <c r="AT14" i="21"/>
  <c r="BJ14" i="21"/>
  <c r="CA16" i="21"/>
  <c r="CQ16" i="21"/>
  <c r="DG16" i="21"/>
  <c r="N18" i="21"/>
  <c r="AD18" i="21"/>
  <c r="AT18" i="21"/>
  <c r="CA20" i="21"/>
  <c r="CQ20" i="21"/>
  <c r="DG20" i="21"/>
  <c r="N22" i="21"/>
  <c r="AT22" i="21"/>
  <c r="CA24" i="21"/>
  <c r="Q26" i="21"/>
  <c r="CZ28" i="21"/>
  <c r="AE30" i="21"/>
  <c r="BK8" i="21"/>
  <c r="BG8" i="21"/>
  <c r="BC8" i="21"/>
  <c r="AY8" i="21"/>
  <c r="AU8" i="21"/>
  <c r="AQ8" i="21"/>
  <c r="AM8" i="21"/>
  <c r="AI8" i="21"/>
  <c r="AE8" i="21"/>
  <c r="AA8" i="21"/>
  <c r="W8" i="21"/>
  <c r="S8" i="21"/>
  <c r="O8" i="21"/>
  <c r="K8" i="21"/>
  <c r="G8" i="21"/>
  <c r="C8" i="21"/>
  <c r="BM8" i="21"/>
  <c r="BI8" i="21"/>
  <c r="BE8" i="21"/>
  <c r="BA8" i="21"/>
  <c r="AW8" i="21"/>
  <c r="AS8" i="21"/>
  <c r="AO8" i="21"/>
  <c r="AK8" i="21"/>
  <c r="AG8" i="21"/>
  <c r="AC8" i="21"/>
  <c r="Y8" i="21"/>
  <c r="U8" i="21"/>
  <c r="Q8" i="21"/>
  <c r="M8" i="21"/>
  <c r="I8" i="21"/>
  <c r="E8" i="21"/>
  <c r="BK16" i="21"/>
  <c r="BG16" i="21"/>
  <c r="BC16" i="21"/>
  <c r="AY16" i="21"/>
  <c r="AU16" i="21"/>
  <c r="AQ16" i="21"/>
  <c r="AM16" i="21"/>
  <c r="AI16" i="21"/>
  <c r="AE16" i="21"/>
  <c r="AA16" i="21"/>
  <c r="W16" i="21"/>
  <c r="S16" i="21"/>
  <c r="O16" i="21"/>
  <c r="K16" i="21"/>
  <c r="G16" i="21"/>
  <c r="C16" i="21"/>
  <c r="BM16" i="21"/>
  <c r="BI16" i="21"/>
  <c r="BE16" i="21"/>
  <c r="BA16" i="21"/>
  <c r="AW16" i="21"/>
  <c r="AS16" i="21"/>
  <c r="AO16" i="21"/>
  <c r="AK16" i="21"/>
  <c r="AG16" i="21"/>
  <c r="AC16" i="21"/>
  <c r="Y16" i="21"/>
  <c r="U16" i="21"/>
  <c r="Q16" i="21"/>
  <c r="M16" i="21"/>
  <c r="I16" i="21"/>
  <c r="E16" i="21"/>
  <c r="BK24" i="21"/>
  <c r="BG24" i="21"/>
  <c r="BC24" i="21"/>
  <c r="AY24" i="21"/>
  <c r="AU24" i="21"/>
  <c r="AQ24" i="21"/>
  <c r="AM24" i="21"/>
  <c r="AI24" i="21"/>
  <c r="AE24" i="21"/>
  <c r="AA24" i="21"/>
  <c r="W24" i="21"/>
  <c r="S24" i="21"/>
  <c r="O24" i="21"/>
  <c r="K24" i="21"/>
  <c r="G24" i="21"/>
  <c r="C24" i="21"/>
  <c r="BM24" i="21"/>
  <c r="BI24" i="21"/>
  <c r="BE24" i="21"/>
  <c r="BA24" i="21"/>
  <c r="AW24" i="21"/>
  <c r="AS24" i="21"/>
  <c r="AO24" i="21"/>
  <c r="AK24" i="21"/>
  <c r="AG24" i="21"/>
  <c r="AC24" i="21"/>
  <c r="Y24" i="21"/>
  <c r="U24" i="21"/>
  <c r="Q24" i="21"/>
  <c r="M24" i="21"/>
  <c r="I24" i="21"/>
  <c r="E24" i="21"/>
  <c r="BL24" i="21"/>
  <c r="BD24" i="21"/>
  <c r="AV24" i="21"/>
  <c r="AN24" i="21"/>
  <c r="AF24" i="21"/>
  <c r="X24" i="21"/>
  <c r="P24" i="21"/>
  <c r="H24" i="21"/>
  <c r="BH24" i="21"/>
  <c r="AZ24" i="21"/>
  <c r="AR24" i="21"/>
  <c r="AJ24" i="21"/>
  <c r="AB24" i="21"/>
  <c r="T24" i="21"/>
  <c r="L24" i="21"/>
  <c r="D24" i="21"/>
  <c r="BK32" i="21"/>
  <c r="BG32" i="21"/>
  <c r="BC32" i="21"/>
  <c r="AY32" i="21"/>
  <c r="AU32" i="21"/>
  <c r="BJ32" i="21"/>
  <c r="BE32" i="21"/>
  <c r="AZ32" i="21"/>
  <c r="AT32" i="21"/>
  <c r="AP32" i="21"/>
  <c r="AL32" i="21"/>
  <c r="FL32" i="21" s="1"/>
  <c r="AH32" i="21"/>
  <c r="AD32" i="21"/>
  <c r="Z32" i="21"/>
  <c r="V32" i="21"/>
  <c r="R32" i="21"/>
  <c r="N32" i="21"/>
  <c r="J32" i="21"/>
  <c r="F32" i="21"/>
  <c r="B32" i="21"/>
  <c r="BM32" i="21"/>
  <c r="BF32" i="21"/>
  <c r="AX32" i="21"/>
  <c r="AR32" i="21"/>
  <c r="AM32" i="21"/>
  <c r="AG32" i="21"/>
  <c r="AB32" i="21"/>
  <c r="W32" i="21"/>
  <c r="Q32" i="21"/>
  <c r="L32" i="21"/>
  <c r="G32" i="21"/>
  <c r="BD32" i="21"/>
  <c r="AV32" i="21"/>
  <c r="AN32" i="21"/>
  <c r="AF32" i="21"/>
  <c r="Y32" i="21"/>
  <c r="S32" i="21"/>
  <c r="K32" i="21"/>
  <c r="D32" i="21"/>
  <c r="BI32" i="21"/>
  <c r="BA32" i="21"/>
  <c r="AQ32" i="21"/>
  <c r="AJ32" i="21"/>
  <c r="AC32" i="21"/>
  <c r="U32" i="21"/>
  <c r="O32" i="21"/>
  <c r="H32" i="21"/>
  <c r="AW32" i="21"/>
  <c r="AI32" i="21"/>
  <c r="T32" i="21"/>
  <c r="E32" i="21"/>
  <c r="BH32" i="21"/>
  <c r="AO32" i="21"/>
  <c r="AA32" i="21"/>
  <c r="M32" i="21"/>
  <c r="DX6" i="21"/>
  <c r="DT6" i="21"/>
  <c r="DP6" i="21"/>
  <c r="DL6" i="21"/>
  <c r="DH6" i="21"/>
  <c r="DD6" i="21"/>
  <c r="CZ6" i="21"/>
  <c r="CV6" i="21"/>
  <c r="CR6" i="21"/>
  <c r="CN6" i="21"/>
  <c r="CJ6" i="21"/>
  <c r="CF6" i="21"/>
  <c r="CB6" i="21"/>
  <c r="BX6" i="21"/>
  <c r="BT6" i="21"/>
  <c r="BP6" i="21"/>
  <c r="DZ6" i="21"/>
  <c r="DV6" i="21"/>
  <c r="DR6" i="21"/>
  <c r="DN6" i="21"/>
  <c r="DJ6" i="21"/>
  <c r="DF6" i="21"/>
  <c r="DB6" i="21"/>
  <c r="CX6" i="21"/>
  <c r="CT6" i="21"/>
  <c r="CP6" i="21"/>
  <c r="CL6" i="21"/>
  <c r="CH6" i="21"/>
  <c r="CD6" i="21"/>
  <c r="BZ6" i="21"/>
  <c r="BV6" i="21"/>
  <c r="BR6" i="21"/>
  <c r="DX14" i="21"/>
  <c r="DT14" i="21"/>
  <c r="DP14" i="21"/>
  <c r="DL14" i="21"/>
  <c r="DH14" i="21"/>
  <c r="DD14" i="21"/>
  <c r="CZ14" i="21"/>
  <c r="CV14" i="21"/>
  <c r="CR14" i="21"/>
  <c r="CN14" i="21"/>
  <c r="CJ14" i="21"/>
  <c r="CF14" i="21"/>
  <c r="CB14" i="21"/>
  <c r="BX14" i="21"/>
  <c r="BT14" i="21"/>
  <c r="BP14" i="21"/>
  <c r="DZ14" i="21"/>
  <c r="DV14" i="21"/>
  <c r="DR14" i="21"/>
  <c r="DN14" i="21"/>
  <c r="DJ14" i="21"/>
  <c r="DF14" i="21"/>
  <c r="DB14" i="21"/>
  <c r="CX14" i="21"/>
  <c r="CT14" i="21"/>
  <c r="CP14" i="21"/>
  <c r="CL14" i="21"/>
  <c r="CH14" i="21"/>
  <c r="CD14" i="21"/>
  <c r="BZ14" i="21"/>
  <c r="BV14" i="21"/>
  <c r="BR14" i="21"/>
  <c r="DX22" i="21"/>
  <c r="DT22" i="21"/>
  <c r="DP22" i="21"/>
  <c r="DL22" i="21"/>
  <c r="DH22" i="21"/>
  <c r="DD22" i="21"/>
  <c r="CZ22" i="21"/>
  <c r="CV22" i="21"/>
  <c r="CR22" i="21"/>
  <c r="CN22" i="21"/>
  <c r="CJ22" i="21"/>
  <c r="CF22" i="21"/>
  <c r="CB22" i="21"/>
  <c r="BX22" i="21"/>
  <c r="BT22" i="21"/>
  <c r="BP22" i="21"/>
  <c r="DZ22" i="21"/>
  <c r="DV22" i="21"/>
  <c r="DR22" i="21"/>
  <c r="DN22" i="21"/>
  <c r="DJ22" i="21"/>
  <c r="DF22" i="21"/>
  <c r="DB22" i="21"/>
  <c r="CX22" i="21"/>
  <c r="CT22" i="21"/>
  <c r="CP22" i="21"/>
  <c r="CL22" i="21"/>
  <c r="CH22" i="21"/>
  <c r="CD22" i="21"/>
  <c r="BZ22" i="21"/>
  <c r="BV22" i="21"/>
  <c r="BR22" i="21"/>
  <c r="DY22" i="21"/>
  <c r="DQ22" i="21"/>
  <c r="DI22" i="21"/>
  <c r="DA22" i="21"/>
  <c r="CS22" i="21"/>
  <c r="CK22" i="21"/>
  <c r="CC22" i="21"/>
  <c r="BU22" i="21"/>
  <c r="DU22" i="21"/>
  <c r="DM22" i="21"/>
  <c r="DE22" i="21"/>
  <c r="CW22" i="21"/>
  <c r="CO22" i="21"/>
  <c r="CG22" i="21"/>
  <c r="BY22" i="21"/>
  <c r="BQ22" i="21"/>
  <c r="DW30" i="21"/>
  <c r="DS30" i="21"/>
  <c r="DO30" i="21"/>
  <c r="DK30" i="21"/>
  <c r="DG30" i="21"/>
  <c r="DC30" i="21"/>
  <c r="CY30" i="21"/>
  <c r="CU30" i="21"/>
  <c r="CQ30" i="21"/>
  <c r="CM30" i="21"/>
  <c r="CI30" i="21"/>
  <c r="CE30" i="21"/>
  <c r="CA30" i="21"/>
  <c r="BW30" i="21"/>
  <c r="BS30" i="21"/>
  <c r="BO30" i="21"/>
  <c r="DZ30" i="21"/>
  <c r="DU30" i="21"/>
  <c r="DP30" i="21"/>
  <c r="DJ30" i="21"/>
  <c r="DE30" i="21"/>
  <c r="CZ30" i="21"/>
  <c r="CT30" i="21"/>
  <c r="CO30" i="21"/>
  <c r="CJ30" i="21"/>
  <c r="CD30" i="21"/>
  <c r="BY30" i="21"/>
  <c r="BT30" i="21"/>
  <c r="DV30" i="21"/>
  <c r="DN30" i="21"/>
  <c r="DH30" i="21"/>
  <c r="DA30" i="21"/>
  <c r="CS30" i="21"/>
  <c r="CL30" i="21"/>
  <c r="CF30" i="21"/>
  <c r="BX30" i="21"/>
  <c r="BQ30" i="21"/>
  <c r="DY30" i="21"/>
  <c r="DR30" i="21"/>
  <c r="DL30" i="21"/>
  <c r="DD30" i="21"/>
  <c r="CW30" i="21"/>
  <c r="CP30" i="21"/>
  <c r="CH30" i="21"/>
  <c r="CB30" i="21"/>
  <c r="BU30" i="21"/>
  <c r="DQ30" i="21"/>
  <c r="DB30" i="21"/>
  <c r="CN30" i="21"/>
  <c r="BZ30" i="21"/>
  <c r="DX30" i="21"/>
  <c r="DI30" i="21"/>
  <c r="CV30" i="21"/>
  <c r="CG30" i="21"/>
  <c r="BR30" i="21"/>
  <c r="B4" i="21"/>
  <c r="BK4" i="21"/>
  <c r="BG4" i="21"/>
  <c r="BC4" i="21"/>
  <c r="AY4" i="21"/>
  <c r="AU4" i="21"/>
  <c r="AQ4" i="21"/>
  <c r="AM4" i="21"/>
  <c r="AI4" i="21"/>
  <c r="AE4" i="21"/>
  <c r="AA4" i="21"/>
  <c r="W4" i="21"/>
  <c r="S4" i="21"/>
  <c r="O4" i="21"/>
  <c r="K4" i="21"/>
  <c r="G4" i="21"/>
  <c r="C4" i="21"/>
  <c r="BS6" i="21"/>
  <c r="CA6" i="21"/>
  <c r="CI6" i="21"/>
  <c r="CQ6" i="21"/>
  <c r="FD6" i="21" s="1"/>
  <c r="CY6" i="21"/>
  <c r="DG6" i="21"/>
  <c r="DO6" i="21"/>
  <c r="DW6" i="21"/>
  <c r="GJ6" i="21" s="1"/>
  <c r="F8" i="21"/>
  <c r="N8" i="21"/>
  <c r="V8" i="21"/>
  <c r="AD8" i="21"/>
  <c r="FD8" i="21" s="1"/>
  <c r="AL8" i="21"/>
  <c r="AT8" i="21"/>
  <c r="BB8" i="21"/>
  <c r="BJ8" i="21"/>
  <c r="GJ8" i="21" s="1"/>
  <c r="BS10" i="21"/>
  <c r="EF10" i="21" s="1"/>
  <c r="CA10" i="21"/>
  <c r="CI10" i="21"/>
  <c r="CQ10" i="21"/>
  <c r="CY10" i="21"/>
  <c r="DG10" i="21"/>
  <c r="FT10" i="21" s="1"/>
  <c r="DO10" i="21"/>
  <c r="GB10" i="21" s="1"/>
  <c r="DW10" i="21"/>
  <c r="GJ10" i="21" s="1"/>
  <c r="F12" i="21"/>
  <c r="N12" i="21"/>
  <c r="V12" i="21"/>
  <c r="AD12" i="21"/>
  <c r="FD12" i="21" s="1"/>
  <c r="AL12" i="21"/>
  <c r="FL12" i="21" s="1"/>
  <c r="AT12" i="21"/>
  <c r="BB12" i="21"/>
  <c r="BJ12" i="21"/>
  <c r="BS14" i="21"/>
  <c r="CA14" i="21"/>
  <c r="CI14" i="21"/>
  <c r="CQ14" i="21"/>
  <c r="CY14" i="21"/>
  <c r="DG14" i="21"/>
  <c r="DO14" i="21"/>
  <c r="DW14" i="21"/>
  <c r="F16" i="21"/>
  <c r="N16" i="21"/>
  <c r="V16" i="21"/>
  <c r="AD16" i="21"/>
  <c r="AL16" i="21"/>
  <c r="FL16" i="21" s="1"/>
  <c r="AT16" i="21"/>
  <c r="BB16" i="21"/>
  <c r="BJ16" i="21"/>
  <c r="GJ16" i="21" s="1"/>
  <c r="BS18" i="21"/>
  <c r="CA18" i="21"/>
  <c r="CI18" i="21"/>
  <c r="CQ18" i="21"/>
  <c r="CY18" i="21"/>
  <c r="DG18" i="21"/>
  <c r="DO18" i="21"/>
  <c r="DW18" i="21"/>
  <c r="GJ18" i="21" s="1"/>
  <c r="F20" i="21"/>
  <c r="N20" i="21"/>
  <c r="V20" i="21"/>
  <c r="EV20" i="21" s="1"/>
  <c r="AD20" i="21"/>
  <c r="AL20" i="21"/>
  <c r="AT20" i="21"/>
  <c r="BB20" i="21"/>
  <c r="GB20" i="21" s="1"/>
  <c r="BJ20" i="21"/>
  <c r="CA22" i="21"/>
  <c r="CQ22" i="21"/>
  <c r="DG22" i="21"/>
  <c r="DW22" i="21"/>
  <c r="N24" i="21"/>
  <c r="EN24" i="21" s="1"/>
  <c r="AD24" i="21"/>
  <c r="AT24" i="21"/>
  <c r="FT24" i="21" s="1"/>
  <c r="BJ24" i="21"/>
  <c r="CD26" i="21"/>
  <c r="CZ26" i="21"/>
  <c r="DU26" i="21"/>
  <c r="GH26" i="21" s="1"/>
  <c r="Q28" i="21"/>
  <c r="AM28" i="21"/>
  <c r="BH28" i="21"/>
  <c r="CK30" i="21"/>
  <c r="DM30" i="21"/>
  <c r="P32" i="21"/>
  <c r="AS32" i="21"/>
  <c r="BR34" i="21"/>
  <c r="DN34" i="21"/>
  <c r="AS36" i="21"/>
  <c r="BK10" i="21"/>
  <c r="BG10" i="21"/>
  <c r="BC10" i="21"/>
  <c r="AY10" i="21"/>
  <c r="AU10" i="21"/>
  <c r="AQ10" i="21"/>
  <c r="AM10" i="21"/>
  <c r="AI10" i="21"/>
  <c r="AE10" i="21"/>
  <c r="AA10" i="21"/>
  <c r="W10" i="21"/>
  <c r="S10" i="21"/>
  <c r="O10" i="21"/>
  <c r="K10" i="21"/>
  <c r="G10" i="21"/>
  <c r="C10" i="21"/>
  <c r="BM10" i="21"/>
  <c r="BI10" i="21"/>
  <c r="BE10" i="21"/>
  <c r="BA10" i="21"/>
  <c r="AW10" i="21"/>
  <c r="AS10" i="21"/>
  <c r="AO10" i="21"/>
  <c r="AK10" i="21"/>
  <c r="AG10" i="21"/>
  <c r="AC10" i="21"/>
  <c r="Y10" i="21"/>
  <c r="U10" i="21"/>
  <c r="Q10" i="21"/>
  <c r="M10" i="21"/>
  <c r="I10" i="21"/>
  <c r="E10" i="21"/>
  <c r="BK18" i="21"/>
  <c r="BG18" i="21"/>
  <c r="BC18" i="21"/>
  <c r="AY18" i="21"/>
  <c r="AU18" i="21"/>
  <c r="AQ18" i="21"/>
  <c r="AM18" i="21"/>
  <c r="AI18" i="21"/>
  <c r="AE18" i="21"/>
  <c r="AA18" i="21"/>
  <c r="W18" i="21"/>
  <c r="S18" i="21"/>
  <c r="O18" i="21"/>
  <c r="K18" i="21"/>
  <c r="G18" i="21"/>
  <c r="C18" i="21"/>
  <c r="BM18" i="21"/>
  <c r="BI18" i="21"/>
  <c r="BE18" i="21"/>
  <c r="BA18" i="21"/>
  <c r="AW18" i="21"/>
  <c r="AS18" i="21"/>
  <c r="AO18" i="21"/>
  <c r="AK18" i="21"/>
  <c r="AG18" i="21"/>
  <c r="AC18" i="21"/>
  <c r="Y18" i="21"/>
  <c r="U18" i="21"/>
  <c r="Q18" i="21"/>
  <c r="M18" i="21"/>
  <c r="I18" i="21"/>
  <c r="E18" i="21"/>
  <c r="BJ26" i="21"/>
  <c r="BF26" i="21"/>
  <c r="BB26" i="21"/>
  <c r="AX26" i="21"/>
  <c r="AT26" i="21"/>
  <c r="AP26" i="21"/>
  <c r="AL26" i="21"/>
  <c r="AH26" i="21"/>
  <c r="AD26" i="21"/>
  <c r="Z26" i="21"/>
  <c r="V26" i="21"/>
  <c r="R26" i="21"/>
  <c r="N26" i="21"/>
  <c r="J26" i="21"/>
  <c r="F26" i="21"/>
  <c r="BI26" i="21"/>
  <c r="BD26" i="21"/>
  <c r="AY26" i="21"/>
  <c r="AS26" i="21"/>
  <c r="AN26" i="21"/>
  <c r="AI26" i="21"/>
  <c r="AC26" i="21"/>
  <c r="X26" i="21"/>
  <c r="S26" i="21"/>
  <c r="M26" i="21"/>
  <c r="H26" i="21"/>
  <c r="C26" i="21"/>
  <c r="BL26" i="21"/>
  <c r="BG26" i="21"/>
  <c r="BA26" i="21"/>
  <c r="AV26" i="21"/>
  <c r="AQ26" i="21"/>
  <c r="AK26" i="21"/>
  <c r="AF26" i="21"/>
  <c r="AA26" i="21"/>
  <c r="U26" i="21"/>
  <c r="P26" i="21"/>
  <c r="K26" i="21"/>
  <c r="E26" i="21"/>
  <c r="BK26" i="21"/>
  <c r="AZ26" i="21"/>
  <c r="AO26" i="21"/>
  <c r="AE26" i="21"/>
  <c r="T26" i="21"/>
  <c r="I26" i="21"/>
  <c r="BE26" i="21"/>
  <c r="AU26" i="21"/>
  <c r="AJ26" i="21"/>
  <c r="Y26" i="21"/>
  <c r="O26" i="21"/>
  <c r="D26" i="21"/>
  <c r="BK34" i="21"/>
  <c r="BG34" i="21"/>
  <c r="BC34" i="21"/>
  <c r="AY34" i="21"/>
  <c r="AU34" i="21"/>
  <c r="AQ34" i="21"/>
  <c r="AM34" i="21"/>
  <c r="AI34" i="21"/>
  <c r="AE34" i="21"/>
  <c r="AA34" i="21"/>
  <c r="W34" i="21"/>
  <c r="S34" i="21"/>
  <c r="O34" i="21"/>
  <c r="K34" i="21"/>
  <c r="G34" i="21"/>
  <c r="C34" i="21"/>
  <c r="BJ34" i="21"/>
  <c r="BE34" i="21"/>
  <c r="AZ34" i="21"/>
  <c r="AT34" i="21"/>
  <c r="AO34" i="21"/>
  <c r="AJ34" i="21"/>
  <c r="AD34" i="21"/>
  <c r="Y34" i="21"/>
  <c r="T34" i="21"/>
  <c r="N34" i="21"/>
  <c r="I34" i="21"/>
  <c r="D34" i="21"/>
  <c r="BM34" i="21"/>
  <c r="BF34" i="21"/>
  <c r="AX34" i="21"/>
  <c r="AR34" i="21"/>
  <c r="AK34" i="21"/>
  <c r="AC34" i="21"/>
  <c r="V34" i="21"/>
  <c r="P34" i="21"/>
  <c r="H34" i="21"/>
  <c r="BI34" i="21"/>
  <c r="BA34" i="21"/>
  <c r="AP34" i="21"/>
  <c r="AG34" i="21"/>
  <c r="X34" i="21"/>
  <c r="M34" i="21"/>
  <c r="EM34" i="21" s="1"/>
  <c r="E34" i="21"/>
  <c r="BD34" i="21"/>
  <c r="AV34" i="21"/>
  <c r="AL34" i="21"/>
  <c r="AB34" i="21"/>
  <c r="R34" i="21"/>
  <c r="J34" i="21"/>
  <c r="BB34" i="21"/>
  <c r="AH34" i="21"/>
  <c r="Q34" i="21"/>
  <c r="BL34" i="21"/>
  <c r="AS34" i="21"/>
  <c r="Z34" i="21"/>
  <c r="F34" i="21"/>
  <c r="DX8" i="21"/>
  <c r="DT8" i="21"/>
  <c r="DP8" i="21"/>
  <c r="DL8" i="21"/>
  <c r="DH8" i="21"/>
  <c r="DD8" i="21"/>
  <c r="CZ8" i="21"/>
  <c r="CV8" i="21"/>
  <c r="CR8" i="21"/>
  <c r="CN8" i="21"/>
  <c r="CJ8" i="21"/>
  <c r="CF8" i="21"/>
  <c r="CB8" i="21"/>
  <c r="BX8" i="21"/>
  <c r="BT8" i="21"/>
  <c r="BP8" i="21"/>
  <c r="DZ8" i="21"/>
  <c r="DV8" i="21"/>
  <c r="DR8" i="21"/>
  <c r="DN8" i="21"/>
  <c r="DJ8" i="21"/>
  <c r="DF8" i="21"/>
  <c r="DB8" i="21"/>
  <c r="CX8" i="21"/>
  <c r="CT8" i="21"/>
  <c r="CP8" i="21"/>
  <c r="CL8" i="21"/>
  <c r="CH8" i="21"/>
  <c r="CD8" i="21"/>
  <c r="BZ8" i="21"/>
  <c r="BV8" i="21"/>
  <c r="BR8" i="21"/>
  <c r="DX16" i="21"/>
  <c r="DT16" i="21"/>
  <c r="DP16" i="21"/>
  <c r="DL16" i="21"/>
  <c r="DH16" i="21"/>
  <c r="DD16" i="21"/>
  <c r="CZ16" i="21"/>
  <c r="CV16" i="21"/>
  <c r="CR16" i="21"/>
  <c r="CN16" i="21"/>
  <c r="CJ16" i="21"/>
  <c r="CF16" i="21"/>
  <c r="CB16" i="21"/>
  <c r="BX16" i="21"/>
  <c r="BT16" i="21"/>
  <c r="BP16" i="21"/>
  <c r="DZ16" i="21"/>
  <c r="DV16" i="21"/>
  <c r="DR16" i="21"/>
  <c r="DN16" i="21"/>
  <c r="DJ16" i="21"/>
  <c r="DF16" i="21"/>
  <c r="DB16" i="21"/>
  <c r="CX16" i="21"/>
  <c r="CT16" i="21"/>
  <c r="CP16" i="21"/>
  <c r="CL16" i="21"/>
  <c r="CH16" i="21"/>
  <c r="CD16" i="21"/>
  <c r="BZ16" i="21"/>
  <c r="BV16" i="21"/>
  <c r="BR16" i="21"/>
  <c r="DX24" i="21"/>
  <c r="DT24" i="21"/>
  <c r="DP24" i="21"/>
  <c r="DL24" i="21"/>
  <c r="DH24" i="21"/>
  <c r="DD24" i="21"/>
  <c r="CZ24" i="21"/>
  <c r="CV24" i="21"/>
  <c r="CR24" i="21"/>
  <c r="CN24" i="21"/>
  <c r="CJ24" i="21"/>
  <c r="CF24" i="21"/>
  <c r="CB24" i="21"/>
  <c r="BX24" i="21"/>
  <c r="BT24" i="21"/>
  <c r="BP24" i="21"/>
  <c r="DZ24" i="21"/>
  <c r="DV24" i="21"/>
  <c r="DR24" i="21"/>
  <c r="DN24" i="21"/>
  <c r="DJ24" i="21"/>
  <c r="DF24" i="21"/>
  <c r="DB24" i="21"/>
  <c r="CX24" i="21"/>
  <c r="CT24" i="21"/>
  <c r="CP24" i="21"/>
  <c r="CL24" i="21"/>
  <c r="CH24" i="21"/>
  <c r="CD24" i="21"/>
  <c r="BZ24" i="21"/>
  <c r="BV24" i="21"/>
  <c r="BR24" i="21"/>
  <c r="DY24" i="21"/>
  <c r="DQ24" i="21"/>
  <c r="DI24" i="21"/>
  <c r="DA24" i="21"/>
  <c r="CS24" i="21"/>
  <c r="CK24" i="21"/>
  <c r="CC24" i="21"/>
  <c r="BU24" i="21"/>
  <c r="DU24" i="21"/>
  <c r="DM24" i="21"/>
  <c r="DE24" i="21"/>
  <c r="CW24" i="21"/>
  <c r="CO24" i="21"/>
  <c r="CG24" i="21"/>
  <c r="BY24" i="21"/>
  <c r="BQ24" i="21"/>
  <c r="DX32" i="21"/>
  <c r="DT32" i="21"/>
  <c r="DP32" i="21"/>
  <c r="DL32" i="21"/>
  <c r="DH32" i="21"/>
  <c r="DD32" i="21"/>
  <c r="CZ32" i="21"/>
  <c r="CV32" i="21"/>
  <c r="CR32" i="21"/>
  <c r="CN32" i="21"/>
  <c r="CJ32" i="21"/>
  <c r="CF32" i="21"/>
  <c r="CB32" i="21"/>
  <c r="BX32" i="21"/>
  <c r="BT32" i="21"/>
  <c r="BP32" i="21"/>
  <c r="DW32" i="21"/>
  <c r="DR32" i="21"/>
  <c r="DM32" i="21"/>
  <c r="DG32" i="21"/>
  <c r="DB32" i="21"/>
  <c r="CW32" i="21"/>
  <c r="CQ32" i="21"/>
  <c r="CL32" i="21"/>
  <c r="CG32" i="21"/>
  <c r="CA32" i="21"/>
  <c r="BV32" i="21"/>
  <c r="BQ32" i="21"/>
  <c r="DZ32" i="21"/>
  <c r="DS32" i="21"/>
  <c r="DK32" i="21"/>
  <c r="DE32" i="21"/>
  <c r="CX32" i="21"/>
  <c r="CP32" i="21"/>
  <c r="CI32" i="21"/>
  <c r="CC32" i="21"/>
  <c r="BU32" i="21"/>
  <c r="DU32" i="21"/>
  <c r="DJ32" i="21"/>
  <c r="DA32" i="21"/>
  <c r="CS32" i="21"/>
  <c r="CH32" i="21"/>
  <c r="BY32" i="21"/>
  <c r="BO32" i="21"/>
  <c r="DY32" i="21"/>
  <c r="DO32" i="21"/>
  <c r="DF32" i="21"/>
  <c r="CU32" i="21"/>
  <c r="CM32" i="21"/>
  <c r="CD32" i="21"/>
  <c r="BS32" i="21"/>
  <c r="DV32" i="21"/>
  <c r="DC32" i="21"/>
  <c r="CK32" i="21"/>
  <c r="BR32" i="21"/>
  <c r="DN32" i="21"/>
  <c r="CT32" i="21"/>
  <c r="BZ32" i="21"/>
  <c r="BO4" i="21"/>
  <c r="BJ4" i="21"/>
  <c r="GJ4" i="21" s="1"/>
  <c r="BF4" i="21"/>
  <c r="BB4" i="21"/>
  <c r="GB4" i="21" s="1"/>
  <c r="AX4" i="21"/>
  <c r="AT4" i="21"/>
  <c r="AP4" i="21"/>
  <c r="AL4" i="21"/>
  <c r="FL4" i="21" s="1"/>
  <c r="AH4" i="21"/>
  <c r="AD4" i="21"/>
  <c r="FD4" i="21" s="1"/>
  <c r="Z4" i="21"/>
  <c r="V4" i="21"/>
  <c r="EV4" i="21" s="1"/>
  <c r="R4" i="21"/>
  <c r="N4" i="21"/>
  <c r="EN4" i="21" s="1"/>
  <c r="J4" i="21"/>
  <c r="F4" i="21"/>
  <c r="DZ4" i="21"/>
  <c r="DV4" i="21"/>
  <c r="DR4" i="21"/>
  <c r="DN4" i="21"/>
  <c r="DJ4" i="21"/>
  <c r="DF4" i="21"/>
  <c r="DB4" i="21"/>
  <c r="CX4" i="21"/>
  <c r="CT4" i="21"/>
  <c r="CP4" i="21"/>
  <c r="CL4" i="21"/>
  <c r="CG4" i="21"/>
  <c r="BY4" i="21"/>
  <c r="H6" i="21"/>
  <c r="P6" i="21"/>
  <c r="X6" i="21"/>
  <c r="AF6" i="21"/>
  <c r="AN6" i="21"/>
  <c r="AV6" i="21"/>
  <c r="BD6" i="21"/>
  <c r="BU6" i="21"/>
  <c r="CC6" i="21"/>
  <c r="CK6" i="21"/>
  <c r="CS6" i="21"/>
  <c r="DA6" i="21"/>
  <c r="DI6" i="21"/>
  <c r="DQ6" i="21"/>
  <c r="DY6" i="21"/>
  <c r="GL6" i="21" s="1"/>
  <c r="H8" i="21"/>
  <c r="P8" i="21"/>
  <c r="X8" i="21"/>
  <c r="AF8" i="21"/>
  <c r="AN8" i="21"/>
  <c r="AV8" i="21"/>
  <c r="BD8" i="21"/>
  <c r="BL8" i="21"/>
  <c r="BU8" i="21"/>
  <c r="CC8" i="21"/>
  <c r="CK8" i="21"/>
  <c r="CS8" i="21"/>
  <c r="DA8" i="21"/>
  <c r="DI8" i="21"/>
  <c r="DQ8" i="21"/>
  <c r="DY8" i="21"/>
  <c r="H10" i="21"/>
  <c r="P10" i="21"/>
  <c r="X10" i="21"/>
  <c r="AF10" i="21"/>
  <c r="AN10" i="21"/>
  <c r="AV10" i="21"/>
  <c r="BD10" i="21"/>
  <c r="BL10" i="21"/>
  <c r="GL10" i="21" s="1"/>
  <c r="BU10" i="21"/>
  <c r="CC10" i="21"/>
  <c r="CK10" i="21"/>
  <c r="CS10" i="21"/>
  <c r="DA10" i="21"/>
  <c r="DI10" i="21"/>
  <c r="DQ10" i="21"/>
  <c r="H12" i="21"/>
  <c r="P12" i="21"/>
  <c r="X12" i="21"/>
  <c r="AF12" i="21"/>
  <c r="AN12" i="21"/>
  <c r="AV12" i="21"/>
  <c r="BD12" i="21"/>
  <c r="BU12" i="21"/>
  <c r="CC12" i="21"/>
  <c r="CK12" i="21"/>
  <c r="CS12" i="21"/>
  <c r="DA12" i="21"/>
  <c r="DI12" i="21"/>
  <c r="DQ12" i="21"/>
  <c r="H14" i="21"/>
  <c r="P14" i="21"/>
  <c r="X14" i="21"/>
  <c r="AF14" i="21"/>
  <c r="AN14" i="21"/>
  <c r="AV14" i="21"/>
  <c r="BD14" i="21"/>
  <c r="BU14" i="21"/>
  <c r="CC14" i="21"/>
  <c r="CK14" i="21"/>
  <c r="CS14" i="21"/>
  <c r="DA14" i="21"/>
  <c r="DI14" i="21"/>
  <c r="DQ14" i="21"/>
  <c r="DY14" i="21"/>
  <c r="GL14" i="21" s="1"/>
  <c r="H16" i="21"/>
  <c r="P16" i="21"/>
  <c r="X16" i="21"/>
  <c r="AF16" i="21"/>
  <c r="AN16" i="21"/>
  <c r="AV16" i="21"/>
  <c r="BD16" i="21"/>
  <c r="BL16" i="21"/>
  <c r="BU16" i="21"/>
  <c r="CC16" i="21"/>
  <c r="CK16" i="21"/>
  <c r="CS16" i="21"/>
  <c r="DA16" i="21"/>
  <c r="DI16" i="21"/>
  <c r="DQ16" i="21"/>
  <c r="DY16" i="21"/>
  <c r="H18" i="21"/>
  <c r="P18" i="21"/>
  <c r="X18" i="21"/>
  <c r="AF18" i="21"/>
  <c r="AN18" i="21"/>
  <c r="AV18" i="21"/>
  <c r="BD18" i="21"/>
  <c r="BL18" i="21"/>
  <c r="GL18" i="21" s="1"/>
  <c r="BU18" i="21"/>
  <c r="CC18" i="21"/>
  <c r="CK18" i="21"/>
  <c r="CS18" i="21"/>
  <c r="DA18" i="21"/>
  <c r="DI18" i="21"/>
  <c r="DQ18" i="21"/>
  <c r="H20" i="21"/>
  <c r="P20" i="21"/>
  <c r="X20" i="21"/>
  <c r="AF20" i="21"/>
  <c r="AN20" i="21"/>
  <c r="AV20" i="21"/>
  <c r="BD20" i="21"/>
  <c r="BU20" i="21"/>
  <c r="CC20" i="21"/>
  <c r="CK20" i="21"/>
  <c r="CS20" i="21"/>
  <c r="DA20" i="21"/>
  <c r="B22" i="21"/>
  <c r="R22" i="21"/>
  <c r="AH22" i="21"/>
  <c r="BO22" i="21"/>
  <c r="CE22" i="21"/>
  <c r="CU22" i="21"/>
  <c r="DK22" i="21"/>
  <c r="FX22" i="21" s="1"/>
  <c r="B24" i="21"/>
  <c r="R24" i="21"/>
  <c r="AH24" i="21"/>
  <c r="AX24" i="21"/>
  <c r="BO24" i="21"/>
  <c r="CE24" i="21"/>
  <c r="CU24" i="21"/>
  <c r="DK24" i="21"/>
  <c r="B26" i="21"/>
  <c r="W26" i="21"/>
  <c r="AR26" i="21"/>
  <c r="BM26" i="21"/>
  <c r="GM26" i="21" s="1"/>
  <c r="CJ26" i="21"/>
  <c r="DE26" i="21"/>
  <c r="W28" i="21"/>
  <c r="AR28" i="21"/>
  <c r="CJ28" i="21"/>
  <c r="I30" i="21"/>
  <c r="BP30" i="21"/>
  <c r="CR30" i="21"/>
  <c r="DT30" i="21"/>
  <c r="X32" i="21"/>
  <c r="BB32" i="21"/>
  <c r="CO32" i="21"/>
  <c r="B34" i="21"/>
  <c r="AN34" i="21"/>
  <c r="B36" i="21"/>
  <c r="BK12" i="21"/>
  <c r="BG12" i="21"/>
  <c r="BC12" i="21"/>
  <c r="AY12" i="21"/>
  <c r="AU12" i="21"/>
  <c r="AQ12" i="21"/>
  <c r="AM12" i="21"/>
  <c r="AI12" i="21"/>
  <c r="AE12" i="21"/>
  <c r="AA12" i="21"/>
  <c r="W12" i="21"/>
  <c r="S12" i="21"/>
  <c r="O12" i="21"/>
  <c r="K12" i="21"/>
  <c r="G12" i="21"/>
  <c r="C12" i="21"/>
  <c r="BM12" i="21"/>
  <c r="BI12" i="21"/>
  <c r="BE12" i="21"/>
  <c r="BA12" i="21"/>
  <c r="AW12" i="21"/>
  <c r="AS12" i="21"/>
  <c r="AO12" i="21"/>
  <c r="AK12" i="21"/>
  <c r="AG12" i="21"/>
  <c r="AC12" i="21"/>
  <c r="Y12" i="21"/>
  <c r="U12" i="21"/>
  <c r="Q12" i="21"/>
  <c r="M12" i="21"/>
  <c r="I12" i="21"/>
  <c r="E12" i="21"/>
  <c r="BK20" i="21"/>
  <c r="BG20" i="21"/>
  <c r="BC20" i="21"/>
  <c r="AY20" i="21"/>
  <c r="AU20" i="21"/>
  <c r="AQ20" i="21"/>
  <c r="AM20" i="21"/>
  <c r="AI20" i="21"/>
  <c r="AE20" i="21"/>
  <c r="AA20" i="21"/>
  <c r="W20" i="21"/>
  <c r="S20" i="21"/>
  <c r="O20" i="21"/>
  <c r="K20" i="21"/>
  <c r="G20" i="21"/>
  <c r="C20" i="21"/>
  <c r="BM20" i="21"/>
  <c r="BI20" i="21"/>
  <c r="BE20" i="21"/>
  <c r="BA20" i="21"/>
  <c r="AW20" i="21"/>
  <c r="AS20" i="21"/>
  <c r="AO20" i="21"/>
  <c r="AK20" i="21"/>
  <c r="AG20" i="21"/>
  <c r="AC20" i="21"/>
  <c r="Y20" i="21"/>
  <c r="U20" i="21"/>
  <c r="Q20" i="21"/>
  <c r="M20" i="21"/>
  <c r="I20" i="21"/>
  <c r="E20" i="21"/>
  <c r="BJ28" i="21"/>
  <c r="BF28" i="21"/>
  <c r="BB28" i="21"/>
  <c r="AX28" i="21"/>
  <c r="AT28" i="21"/>
  <c r="AP28" i="21"/>
  <c r="AL28" i="21"/>
  <c r="AH28" i="21"/>
  <c r="AD28" i="21"/>
  <c r="Z28" i="21"/>
  <c r="V28" i="21"/>
  <c r="R28" i="21"/>
  <c r="N28" i="21"/>
  <c r="J28" i="21"/>
  <c r="F28" i="21"/>
  <c r="B28" i="21"/>
  <c r="BI28" i="21"/>
  <c r="BD28" i="21"/>
  <c r="AY28" i="21"/>
  <c r="AS28" i="21"/>
  <c r="FS28" i="21" s="1"/>
  <c r="AN28" i="21"/>
  <c r="AI28" i="21"/>
  <c r="AC28" i="21"/>
  <c r="X28" i="21"/>
  <c r="S28" i="21"/>
  <c r="M28" i="21"/>
  <c r="H28" i="21"/>
  <c r="C28" i="21"/>
  <c r="BL28" i="21"/>
  <c r="BG28" i="21"/>
  <c r="BA28" i="21"/>
  <c r="AV28" i="21"/>
  <c r="AQ28" i="21"/>
  <c r="AK28" i="21"/>
  <c r="AF28" i="21"/>
  <c r="AA28" i="21"/>
  <c r="U28" i="21"/>
  <c r="P28" i="21"/>
  <c r="K28" i="21"/>
  <c r="E28" i="21"/>
  <c r="BK28" i="21"/>
  <c r="AZ28" i="21"/>
  <c r="AO28" i="21"/>
  <c r="AE28" i="21"/>
  <c r="T28" i="21"/>
  <c r="I28" i="21"/>
  <c r="BE28" i="21"/>
  <c r="AU28" i="21"/>
  <c r="AJ28" i="21"/>
  <c r="Y28" i="21"/>
  <c r="O28" i="21"/>
  <c r="D28" i="21"/>
  <c r="BK36" i="21"/>
  <c r="BG36" i="21"/>
  <c r="BC36" i="21"/>
  <c r="AY36" i="21"/>
  <c r="AU36" i="21"/>
  <c r="AQ36" i="21"/>
  <c r="AM36" i="21"/>
  <c r="AI36" i="21"/>
  <c r="AE36" i="21"/>
  <c r="AA36" i="21"/>
  <c r="W36" i="21"/>
  <c r="S36" i="21"/>
  <c r="O36" i="21"/>
  <c r="K36" i="21"/>
  <c r="G36" i="21"/>
  <c r="C36" i="21"/>
  <c r="BJ36" i="21"/>
  <c r="BE36" i="21"/>
  <c r="AZ36" i="21"/>
  <c r="AT36" i="21"/>
  <c r="AO36" i="21"/>
  <c r="AJ36" i="21"/>
  <c r="AD36" i="21"/>
  <c r="Y36" i="21"/>
  <c r="T36" i="21"/>
  <c r="N36" i="21"/>
  <c r="I36" i="21"/>
  <c r="D36" i="21"/>
  <c r="BI36" i="21"/>
  <c r="BB36" i="21"/>
  <c r="AV36" i="21"/>
  <c r="AN36" i="21"/>
  <c r="AG36" i="21"/>
  <c r="Z36" i="21"/>
  <c r="R36" i="21"/>
  <c r="L36" i="21"/>
  <c r="E36" i="21"/>
  <c r="BM36" i="21"/>
  <c r="BF36" i="21"/>
  <c r="AX36" i="21"/>
  <c r="AR36" i="21"/>
  <c r="AK36" i="21"/>
  <c r="AC36" i="21"/>
  <c r="V36" i="21"/>
  <c r="P36" i="21"/>
  <c r="H36" i="21"/>
  <c r="BL36" i="21"/>
  <c r="AW36" i="21"/>
  <c r="AH36" i="21"/>
  <c r="U36" i="21"/>
  <c r="F36" i="21"/>
  <c r="BD36" i="21"/>
  <c r="AP36" i="21"/>
  <c r="AB36" i="21"/>
  <c r="M36" i="21"/>
  <c r="BA36" i="21"/>
  <c r="GA36" i="21" s="1"/>
  <c r="X36" i="21"/>
  <c r="AL36" i="21"/>
  <c r="J36" i="21"/>
  <c r="DX10" i="21"/>
  <c r="DT10" i="21"/>
  <c r="DP10" i="21"/>
  <c r="DL10" i="21"/>
  <c r="DH10" i="21"/>
  <c r="DD10" i="21"/>
  <c r="CZ10" i="21"/>
  <c r="CV10" i="21"/>
  <c r="CR10" i="21"/>
  <c r="CN10" i="21"/>
  <c r="CJ10" i="21"/>
  <c r="CF10" i="21"/>
  <c r="CB10" i="21"/>
  <c r="BX10" i="21"/>
  <c r="BT10" i="21"/>
  <c r="BP10" i="21"/>
  <c r="DZ10" i="21"/>
  <c r="DV10" i="21"/>
  <c r="DR10" i="21"/>
  <c r="DN10" i="21"/>
  <c r="DJ10" i="21"/>
  <c r="DF10" i="21"/>
  <c r="DB10" i="21"/>
  <c r="CX10" i="21"/>
  <c r="CT10" i="21"/>
  <c r="CP10" i="21"/>
  <c r="CL10" i="21"/>
  <c r="CH10" i="21"/>
  <c r="CD10" i="21"/>
  <c r="BZ10" i="21"/>
  <c r="BV10" i="21"/>
  <c r="BR10" i="21"/>
  <c r="DX18" i="21"/>
  <c r="DT18" i="21"/>
  <c r="DP18" i="21"/>
  <c r="DL18" i="21"/>
  <c r="DH18" i="21"/>
  <c r="DD18" i="21"/>
  <c r="CZ18" i="21"/>
  <c r="CV18" i="21"/>
  <c r="CR18" i="21"/>
  <c r="CN18" i="21"/>
  <c r="CJ18" i="21"/>
  <c r="CF18" i="21"/>
  <c r="CB18" i="21"/>
  <c r="BX18" i="21"/>
  <c r="BT18" i="21"/>
  <c r="BP18" i="21"/>
  <c r="DZ18" i="21"/>
  <c r="DV18" i="21"/>
  <c r="DR18" i="21"/>
  <c r="DN18" i="21"/>
  <c r="DJ18" i="21"/>
  <c r="DF18" i="21"/>
  <c r="DB18" i="21"/>
  <c r="CX18" i="21"/>
  <c r="CT18" i="21"/>
  <c r="CP18" i="21"/>
  <c r="CL18" i="21"/>
  <c r="CH18" i="21"/>
  <c r="CD18" i="21"/>
  <c r="BZ18" i="21"/>
  <c r="BV18" i="21"/>
  <c r="BR18" i="21"/>
  <c r="DW26" i="21"/>
  <c r="DS26" i="21"/>
  <c r="DO26" i="21"/>
  <c r="DK26" i="21"/>
  <c r="DG26" i="21"/>
  <c r="DC26" i="21"/>
  <c r="CY26" i="21"/>
  <c r="CU26" i="21"/>
  <c r="CQ26" i="21"/>
  <c r="CM26" i="21"/>
  <c r="CI26" i="21"/>
  <c r="CE26" i="21"/>
  <c r="CA26" i="21"/>
  <c r="BW26" i="21"/>
  <c r="BS26" i="21"/>
  <c r="BO26" i="21"/>
  <c r="DV26" i="21"/>
  <c r="DQ26" i="21"/>
  <c r="DL26" i="21"/>
  <c r="DF26" i="21"/>
  <c r="DA26" i="21"/>
  <c r="CV26" i="21"/>
  <c r="CP26" i="21"/>
  <c r="CK26" i="21"/>
  <c r="CF26" i="21"/>
  <c r="BZ26" i="21"/>
  <c r="BU26" i="21"/>
  <c r="BP26" i="21"/>
  <c r="DY26" i="21"/>
  <c r="DT26" i="21"/>
  <c r="DN26" i="21"/>
  <c r="DI26" i="21"/>
  <c r="DD26" i="21"/>
  <c r="CX26" i="21"/>
  <c r="CS26" i="21"/>
  <c r="CN26" i="21"/>
  <c r="CH26" i="21"/>
  <c r="CC26" i="21"/>
  <c r="BX26" i="21"/>
  <c r="BR26" i="21"/>
  <c r="DX26" i="21"/>
  <c r="DM26" i="21"/>
  <c r="DB26" i="21"/>
  <c r="CR26" i="21"/>
  <c r="CG26" i="21"/>
  <c r="BV26" i="21"/>
  <c r="DR26" i="21"/>
  <c r="DH26" i="21"/>
  <c r="CW26" i="21"/>
  <c r="CL26" i="21"/>
  <c r="CB26" i="21"/>
  <c r="BQ26" i="21"/>
  <c r="DX34" i="21"/>
  <c r="DT34" i="21"/>
  <c r="DP34" i="21"/>
  <c r="DL34" i="21"/>
  <c r="DH34" i="21"/>
  <c r="DD34" i="21"/>
  <c r="CZ34" i="21"/>
  <c r="CV34" i="21"/>
  <c r="CR34" i="21"/>
  <c r="CN34" i="21"/>
  <c r="CJ34" i="21"/>
  <c r="CF34" i="21"/>
  <c r="CB34" i="21"/>
  <c r="BX34" i="21"/>
  <c r="BT34" i="21"/>
  <c r="BP34" i="21"/>
  <c r="DW34" i="21"/>
  <c r="DR34" i="21"/>
  <c r="DM34" i="21"/>
  <c r="DG34" i="21"/>
  <c r="DB34" i="21"/>
  <c r="CW34" i="21"/>
  <c r="CQ34" i="21"/>
  <c r="CL34" i="21"/>
  <c r="CG34" i="21"/>
  <c r="CA34" i="21"/>
  <c r="BV34" i="21"/>
  <c r="BQ34" i="21"/>
  <c r="DV34" i="21"/>
  <c r="DO34" i="21"/>
  <c r="DI34" i="21"/>
  <c r="DA34" i="21"/>
  <c r="CT34" i="21"/>
  <c r="CM34" i="21"/>
  <c r="DZ34" i="21"/>
  <c r="DS34" i="21"/>
  <c r="DK34" i="21"/>
  <c r="DE34" i="21"/>
  <c r="CX34" i="21"/>
  <c r="CP34" i="21"/>
  <c r="CI34" i="21"/>
  <c r="CC34" i="21"/>
  <c r="BU34" i="21"/>
  <c r="DQ34" i="21"/>
  <c r="DC34" i="21"/>
  <c r="CO34" i="21"/>
  <c r="CD34" i="21"/>
  <c r="BS34" i="21"/>
  <c r="DY34" i="21"/>
  <c r="DJ34" i="21"/>
  <c r="FW34" i="21" s="1"/>
  <c r="CU34" i="21"/>
  <c r="CH34" i="21"/>
  <c r="BY34" i="21"/>
  <c r="BO34" i="21"/>
  <c r="DU34" i="21"/>
  <c r="CS34" i="21"/>
  <c r="BW34" i="21"/>
  <c r="DF34" i="21"/>
  <c r="CE34" i="21"/>
  <c r="BM4" i="21"/>
  <c r="BI4" i="21"/>
  <c r="BE4" i="21"/>
  <c r="BA4" i="21"/>
  <c r="AW4" i="21"/>
  <c r="AS4" i="21"/>
  <c r="AO4" i="21"/>
  <c r="AK4" i="21"/>
  <c r="AG4" i="21"/>
  <c r="AC4" i="21"/>
  <c r="Y4" i="21"/>
  <c r="U4" i="21"/>
  <c r="Q4" i="21"/>
  <c r="M4" i="21"/>
  <c r="I4" i="21"/>
  <c r="E4" i="21"/>
  <c r="BO6" i="21"/>
  <c r="EB6" i="21" s="1"/>
  <c r="BW6" i="21"/>
  <c r="CE6" i="21"/>
  <c r="ER6" i="21" s="1"/>
  <c r="CM6" i="21"/>
  <c r="CU6" i="21"/>
  <c r="FH6" i="21" s="1"/>
  <c r="DC6" i="21"/>
  <c r="DK6" i="21"/>
  <c r="DS6" i="21"/>
  <c r="B8" i="21"/>
  <c r="J8" i="21"/>
  <c r="R8" i="21"/>
  <c r="ER8" i="21" s="1"/>
  <c r="Z8" i="21"/>
  <c r="AH8" i="21"/>
  <c r="AP8" i="21"/>
  <c r="AX8" i="21"/>
  <c r="FX8" i="21" s="1"/>
  <c r="BF8" i="21"/>
  <c r="BO10" i="21"/>
  <c r="BW10" i="21"/>
  <c r="CE10" i="21"/>
  <c r="ER10" i="21" s="1"/>
  <c r="CM10" i="21"/>
  <c r="CU10" i="21"/>
  <c r="FH10" i="21" s="1"/>
  <c r="DC10" i="21"/>
  <c r="DK10" i="21"/>
  <c r="DS10" i="21"/>
  <c r="B12" i="21"/>
  <c r="EB12" i="21" s="1"/>
  <c r="J12" i="21"/>
  <c r="R12" i="21"/>
  <c r="Z12" i="21"/>
  <c r="AH12" i="21"/>
  <c r="FH12" i="21" s="1"/>
  <c r="AP12" i="21"/>
  <c r="AX12" i="21"/>
  <c r="BF12" i="21"/>
  <c r="BO14" i="21"/>
  <c r="EB14" i="21" s="1"/>
  <c r="BW14" i="21"/>
  <c r="CE14" i="21"/>
  <c r="CM14" i="21"/>
  <c r="CU14" i="21"/>
  <c r="DC14" i="21"/>
  <c r="DK14" i="21"/>
  <c r="DS14" i="21"/>
  <c r="B16" i="21"/>
  <c r="J16" i="21"/>
  <c r="R16" i="21"/>
  <c r="ER16" i="21" s="1"/>
  <c r="Z16" i="21"/>
  <c r="AH16" i="21"/>
  <c r="AP16" i="21"/>
  <c r="AX16" i="21"/>
  <c r="FX16" i="21" s="1"/>
  <c r="BF16" i="21"/>
  <c r="BO18" i="21"/>
  <c r="BW18" i="21"/>
  <c r="CE18" i="21"/>
  <c r="ER18" i="21" s="1"/>
  <c r="CM18" i="21"/>
  <c r="CU18" i="21"/>
  <c r="FH18" i="21" s="1"/>
  <c r="DC18" i="21"/>
  <c r="DK18" i="21"/>
  <c r="DS18" i="21"/>
  <c r="B20" i="21"/>
  <c r="J20" i="21"/>
  <c r="R20" i="21"/>
  <c r="Z20" i="21"/>
  <c r="AH20" i="21"/>
  <c r="FH20" i="21" s="1"/>
  <c r="AP20" i="21"/>
  <c r="AX20" i="21"/>
  <c r="FX20" i="21" s="1"/>
  <c r="BF20" i="21"/>
  <c r="BS22" i="21"/>
  <c r="EF22" i="21" s="1"/>
  <c r="CI22" i="21"/>
  <c r="EV22" i="21" s="1"/>
  <c r="CY22" i="21"/>
  <c r="DO22" i="21"/>
  <c r="F24" i="21"/>
  <c r="V24" i="21"/>
  <c r="AL24" i="21"/>
  <c r="BB24" i="21"/>
  <c r="BT26" i="21"/>
  <c r="EG26" i="21" s="1"/>
  <c r="CO26" i="21"/>
  <c r="DJ26" i="21"/>
  <c r="G28" i="21"/>
  <c r="AB28" i="21"/>
  <c r="AW28" i="21"/>
  <c r="BV30" i="21"/>
  <c r="CX30" i="21"/>
  <c r="FK30" i="21" s="1"/>
  <c r="C32" i="21"/>
  <c r="AE32" i="21"/>
  <c r="BL32" i="21"/>
  <c r="CK34" i="21"/>
  <c r="Q36" i="21"/>
  <c r="BK6" i="21"/>
  <c r="BG6" i="21"/>
  <c r="GG6" i="21" s="1"/>
  <c r="BC6" i="21"/>
  <c r="AY6" i="21"/>
  <c r="AU6" i="21"/>
  <c r="AQ6" i="21"/>
  <c r="FQ6" i="21" s="1"/>
  <c r="AM6" i="21"/>
  <c r="AI6" i="21"/>
  <c r="AE6" i="21"/>
  <c r="AA6" i="21"/>
  <c r="FA6" i="21" s="1"/>
  <c r="W6" i="21"/>
  <c r="S6" i="21"/>
  <c r="O6" i="21"/>
  <c r="K6" i="21"/>
  <c r="EK6" i="21" s="1"/>
  <c r="G6" i="21"/>
  <c r="C6" i="21"/>
  <c r="BM6" i="21"/>
  <c r="BI6" i="21"/>
  <c r="GI6" i="21" s="1"/>
  <c r="BE6" i="21"/>
  <c r="BA6" i="21"/>
  <c r="AW6" i="21"/>
  <c r="AS6" i="21"/>
  <c r="FS6" i="21" s="1"/>
  <c r="AO6" i="21"/>
  <c r="AK6" i="21"/>
  <c r="AG6" i="21"/>
  <c r="AC6" i="21"/>
  <c r="FC6" i="21" s="1"/>
  <c r="Y6" i="21"/>
  <c r="U6" i="21"/>
  <c r="Q6" i="21"/>
  <c r="M6" i="21"/>
  <c r="EM6" i="21" s="1"/>
  <c r="I6" i="21"/>
  <c r="E6" i="21"/>
  <c r="BK14" i="21"/>
  <c r="BG14" i="21"/>
  <c r="GG14" i="21" s="1"/>
  <c r="BC14" i="21"/>
  <c r="AY14" i="21"/>
  <c r="AU14" i="21"/>
  <c r="AQ14" i="21"/>
  <c r="FQ14" i="21" s="1"/>
  <c r="AM14" i="21"/>
  <c r="AI14" i="21"/>
  <c r="AE14" i="21"/>
  <c r="AA14" i="21"/>
  <c r="FA14" i="21" s="1"/>
  <c r="W14" i="21"/>
  <c r="S14" i="21"/>
  <c r="O14" i="21"/>
  <c r="K14" i="21"/>
  <c r="EK14" i="21" s="1"/>
  <c r="G14" i="21"/>
  <c r="C14" i="21"/>
  <c r="BM14" i="21"/>
  <c r="BI14" i="21"/>
  <c r="GI14" i="21" s="1"/>
  <c r="BE14" i="21"/>
  <c r="BA14" i="21"/>
  <c r="AW14" i="21"/>
  <c r="AS14" i="21"/>
  <c r="FS14" i="21" s="1"/>
  <c r="AO14" i="21"/>
  <c r="AK14" i="21"/>
  <c r="AG14" i="21"/>
  <c r="AC14" i="21"/>
  <c r="FC14" i="21" s="1"/>
  <c r="Y14" i="21"/>
  <c r="U14" i="21"/>
  <c r="Q14" i="21"/>
  <c r="M14" i="21"/>
  <c r="EM14" i="21" s="1"/>
  <c r="I14" i="21"/>
  <c r="E14" i="21"/>
  <c r="BK22" i="21"/>
  <c r="BG22" i="21"/>
  <c r="GG22" i="21" s="1"/>
  <c r="BC22" i="21"/>
  <c r="AY22" i="21"/>
  <c r="AU22" i="21"/>
  <c r="AQ22" i="21"/>
  <c r="FQ22" i="21" s="1"/>
  <c r="AM22" i="21"/>
  <c r="AI22" i="21"/>
  <c r="AE22" i="21"/>
  <c r="AA22" i="21"/>
  <c r="FA22" i="21" s="1"/>
  <c r="W22" i="21"/>
  <c r="S22" i="21"/>
  <c r="O22" i="21"/>
  <c r="K22" i="21"/>
  <c r="EK22" i="21" s="1"/>
  <c r="G22" i="21"/>
  <c r="C22" i="21"/>
  <c r="BM22" i="21"/>
  <c r="BI22" i="21"/>
  <c r="GI22" i="21" s="1"/>
  <c r="BE22" i="21"/>
  <c r="BA22" i="21"/>
  <c r="AW22" i="21"/>
  <c r="AS22" i="21"/>
  <c r="FS22" i="21" s="1"/>
  <c r="AO22" i="21"/>
  <c r="AK22" i="21"/>
  <c r="AG22" i="21"/>
  <c r="AC22" i="21"/>
  <c r="FC22" i="21" s="1"/>
  <c r="Y22" i="21"/>
  <c r="U22" i="21"/>
  <c r="Q22" i="21"/>
  <c r="M22" i="21"/>
  <c r="EM22" i="21" s="1"/>
  <c r="I22" i="21"/>
  <c r="E22" i="21"/>
  <c r="BL22" i="21"/>
  <c r="BD22" i="21"/>
  <c r="GD22" i="21" s="1"/>
  <c r="AV22" i="21"/>
  <c r="AN22" i="21"/>
  <c r="AF22" i="21"/>
  <c r="X22" i="21"/>
  <c r="EX22" i="21" s="1"/>
  <c r="P22" i="21"/>
  <c r="H22" i="21"/>
  <c r="BH22" i="21"/>
  <c r="AZ22" i="21"/>
  <c r="FZ22" i="21" s="1"/>
  <c r="AR22" i="21"/>
  <c r="AJ22" i="21"/>
  <c r="AB22" i="21"/>
  <c r="T22" i="21"/>
  <c r="ET22" i="21" s="1"/>
  <c r="L22" i="21"/>
  <c r="D22" i="21"/>
  <c r="BJ30" i="21"/>
  <c r="BF30" i="21"/>
  <c r="GF30" i="21" s="1"/>
  <c r="BB30" i="21"/>
  <c r="AX30" i="21"/>
  <c r="AT30" i="21"/>
  <c r="AP30" i="21"/>
  <c r="FP30" i="21" s="1"/>
  <c r="AL30" i="21"/>
  <c r="AH30" i="21"/>
  <c r="AD30" i="21"/>
  <c r="Z30" i="21"/>
  <c r="EZ30" i="21" s="1"/>
  <c r="V30" i="21"/>
  <c r="R30" i="21"/>
  <c r="N30" i="21"/>
  <c r="J30" i="21"/>
  <c r="EJ30" i="21" s="1"/>
  <c r="F30" i="21"/>
  <c r="B30" i="21"/>
  <c r="BM30" i="21"/>
  <c r="BH30" i="21"/>
  <c r="GH30" i="21" s="1"/>
  <c r="BC30" i="21"/>
  <c r="AW30" i="21"/>
  <c r="AR30" i="21"/>
  <c r="AM30" i="21"/>
  <c r="FM30" i="21" s="1"/>
  <c r="AG30" i="21"/>
  <c r="AB30" i="21"/>
  <c r="W30" i="21"/>
  <c r="Q30" i="21"/>
  <c r="EQ30" i="21" s="1"/>
  <c r="L30" i="21"/>
  <c r="G30" i="21"/>
  <c r="BI30" i="21"/>
  <c r="BA30" i="21"/>
  <c r="GA30" i="21" s="1"/>
  <c r="AU30" i="21"/>
  <c r="AN30" i="21"/>
  <c r="AF30" i="21"/>
  <c r="Y30" i="21"/>
  <c r="EY30" i="21" s="1"/>
  <c r="S30" i="21"/>
  <c r="K30" i="21"/>
  <c r="D30" i="21"/>
  <c r="BL30" i="21"/>
  <c r="GL30" i="21" s="1"/>
  <c r="BE30" i="21"/>
  <c r="AY30" i="21"/>
  <c r="AQ30" i="21"/>
  <c r="AJ30" i="21"/>
  <c r="FJ30" i="21" s="1"/>
  <c r="AC30" i="21"/>
  <c r="U30" i="21"/>
  <c r="O30" i="21"/>
  <c r="H30" i="21"/>
  <c r="EH30" i="21" s="1"/>
  <c r="BK30" i="21"/>
  <c r="AV30" i="21"/>
  <c r="AI30" i="21"/>
  <c r="T30" i="21"/>
  <c r="ET30" i="21" s="1"/>
  <c r="E30" i="21"/>
  <c r="BD30" i="21"/>
  <c r="AO30" i="21"/>
  <c r="AA30" i="21"/>
  <c r="M30" i="21"/>
  <c r="BR4" i="21"/>
  <c r="BV4" i="21"/>
  <c r="BZ4" i="21"/>
  <c r="CD4" i="21"/>
  <c r="CH4" i="21"/>
  <c r="BP4" i="21"/>
  <c r="BT4" i="21"/>
  <c r="BX4" i="21"/>
  <c r="CB4" i="21"/>
  <c r="CF4" i="21"/>
  <c r="DX12" i="21"/>
  <c r="DT12" i="21"/>
  <c r="DP12" i="21"/>
  <c r="DL12" i="21"/>
  <c r="DH12" i="21"/>
  <c r="DD12" i="21"/>
  <c r="CZ12" i="21"/>
  <c r="CV12" i="21"/>
  <c r="CR12" i="21"/>
  <c r="CN12" i="21"/>
  <c r="CJ12" i="21"/>
  <c r="CF12" i="21"/>
  <c r="CB12" i="21"/>
  <c r="BX12" i="21"/>
  <c r="BT12" i="21"/>
  <c r="BP12" i="21"/>
  <c r="DZ12" i="21"/>
  <c r="DV12" i="21"/>
  <c r="DR12" i="21"/>
  <c r="DN12" i="21"/>
  <c r="DJ12" i="21"/>
  <c r="DF12" i="21"/>
  <c r="DB12" i="21"/>
  <c r="CX12" i="21"/>
  <c r="CT12" i="21"/>
  <c r="CP12" i="21"/>
  <c r="CL12" i="21"/>
  <c r="CH12" i="21"/>
  <c r="CD12" i="21"/>
  <c r="BZ12" i="21"/>
  <c r="BV12" i="21"/>
  <c r="BR12" i="21"/>
  <c r="DX20" i="21"/>
  <c r="DT20" i="21"/>
  <c r="DP20" i="21"/>
  <c r="DL20" i="21"/>
  <c r="DH20" i="21"/>
  <c r="DZ20" i="21"/>
  <c r="DV20" i="21"/>
  <c r="DR20" i="21"/>
  <c r="DN20" i="21"/>
  <c r="DJ20" i="21"/>
  <c r="DY20" i="21"/>
  <c r="GL20" i="21" s="1"/>
  <c r="DQ20" i="21"/>
  <c r="DI20" i="21"/>
  <c r="DD20" i="21"/>
  <c r="CZ20" i="21"/>
  <c r="CV20" i="21"/>
  <c r="CR20" i="21"/>
  <c r="CN20" i="21"/>
  <c r="CJ20" i="21"/>
  <c r="CF20" i="21"/>
  <c r="CB20" i="21"/>
  <c r="BX20" i="21"/>
  <c r="BT20" i="21"/>
  <c r="BP20" i="21"/>
  <c r="DU20" i="21"/>
  <c r="DM20" i="21"/>
  <c r="DF20" i="21"/>
  <c r="DB20" i="21"/>
  <c r="CX20" i="21"/>
  <c r="CT20" i="21"/>
  <c r="CP20" i="21"/>
  <c r="CL20" i="21"/>
  <c r="CH20" i="21"/>
  <c r="CD20" i="21"/>
  <c r="BZ20" i="21"/>
  <c r="BV20" i="21"/>
  <c r="BR20" i="21"/>
  <c r="DW28" i="21"/>
  <c r="DS28" i="21"/>
  <c r="DO28" i="21"/>
  <c r="DK28" i="21"/>
  <c r="DG28" i="21"/>
  <c r="DC28" i="21"/>
  <c r="CY28" i="21"/>
  <c r="CU28" i="21"/>
  <c r="CQ28" i="21"/>
  <c r="CM28" i="21"/>
  <c r="CI28" i="21"/>
  <c r="CE28" i="21"/>
  <c r="CA28" i="21"/>
  <c r="BW28" i="21"/>
  <c r="BS28" i="21"/>
  <c r="BO28" i="21"/>
  <c r="DZ28" i="21"/>
  <c r="GM28" i="21" s="1"/>
  <c r="DU28" i="21"/>
  <c r="DP28" i="21"/>
  <c r="DJ28" i="21"/>
  <c r="DE28" i="21"/>
  <c r="DV28" i="21"/>
  <c r="DN28" i="21"/>
  <c r="DH28" i="21"/>
  <c r="DA28" i="21"/>
  <c r="CV28" i="21"/>
  <c r="CP28" i="21"/>
  <c r="CK28" i="21"/>
  <c r="CF28" i="21"/>
  <c r="BZ28" i="21"/>
  <c r="BU28" i="21"/>
  <c r="BP28" i="21"/>
  <c r="DY28" i="21"/>
  <c r="DR28" i="21"/>
  <c r="DL28" i="21"/>
  <c r="DD28" i="21"/>
  <c r="CX28" i="21"/>
  <c r="CS28" i="21"/>
  <c r="CN28" i="21"/>
  <c r="CH28" i="21"/>
  <c r="CC28" i="21"/>
  <c r="BX28" i="21"/>
  <c r="BR28" i="21"/>
  <c r="DQ28" i="21"/>
  <c r="DB28" i="21"/>
  <c r="CR28" i="21"/>
  <c r="CG28" i="21"/>
  <c r="BV28" i="21"/>
  <c r="DX28" i="21"/>
  <c r="DI28" i="21"/>
  <c r="CW28" i="21"/>
  <c r="CL28" i="21"/>
  <c r="CB28" i="21"/>
  <c r="BQ28" i="21"/>
  <c r="DX36" i="21"/>
  <c r="DT36" i="21"/>
  <c r="DP36" i="21"/>
  <c r="DL36" i="21"/>
  <c r="DH36" i="21"/>
  <c r="DD36" i="21"/>
  <c r="CZ36" i="21"/>
  <c r="CV36" i="21"/>
  <c r="CR36" i="21"/>
  <c r="CN36" i="21"/>
  <c r="CJ36" i="21"/>
  <c r="CF36" i="21"/>
  <c r="CB36" i="21"/>
  <c r="BX36" i="21"/>
  <c r="BT36" i="21"/>
  <c r="BP36" i="21"/>
  <c r="DW36" i="21"/>
  <c r="DR36" i="21"/>
  <c r="DM36" i="21"/>
  <c r="DG36" i="21"/>
  <c r="DB36" i="21"/>
  <c r="CW36" i="21"/>
  <c r="CQ36" i="21"/>
  <c r="CL36" i="21"/>
  <c r="CG36" i="21"/>
  <c r="CA36" i="21"/>
  <c r="BV36" i="21"/>
  <c r="BQ36" i="21"/>
  <c r="DV36" i="21"/>
  <c r="DO36" i="21"/>
  <c r="DI36" i="21"/>
  <c r="DA36" i="21"/>
  <c r="CT36" i="21"/>
  <c r="CM36" i="21"/>
  <c r="CE36" i="21"/>
  <c r="BY36" i="21"/>
  <c r="BR36" i="21"/>
  <c r="DZ36" i="21"/>
  <c r="DS36" i="21"/>
  <c r="DK36" i="21"/>
  <c r="DE36" i="21"/>
  <c r="CX36" i="21"/>
  <c r="CP36" i="21"/>
  <c r="CI36" i="21"/>
  <c r="CC36" i="21"/>
  <c r="BU36" i="21"/>
  <c r="DQ36" i="21"/>
  <c r="DC36" i="21"/>
  <c r="CO36" i="21"/>
  <c r="BZ36" i="21"/>
  <c r="DY36" i="21"/>
  <c r="DJ36" i="21"/>
  <c r="CU36" i="21"/>
  <c r="CH36" i="21"/>
  <c r="BS36" i="21"/>
  <c r="DF36" i="21"/>
  <c r="CD36" i="21"/>
  <c r="DU36" i="21"/>
  <c r="GH36" i="21" s="1"/>
  <c r="CS36" i="21"/>
  <c r="BO36" i="21"/>
  <c r="BL4" i="21"/>
  <c r="BH4" i="21"/>
  <c r="BD4" i="21"/>
  <c r="AZ4" i="21"/>
  <c r="FZ4" i="21" s="1"/>
  <c r="AV4" i="21"/>
  <c r="AR4" i="21"/>
  <c r="FR4" i="21" s="1"/>
  <c r="AN4" i="21"/>
  <c r="AJ4" i="21"/>
  <c r="AF4" i="21"/>
  <c r="AB4" i="21"/>
  <c r="FB4" i="21" s="1"/>
  <c r="X4" i="21"/>
  <c r="T4" i="21"/>
  <c r="ET4" i="21" s="1"/>
  <c r="P4" i="21"/>
  <c r="L4" i="21"/>
  <c r="H4" i="21"/>
  <c r="DX4" i="21"/>
  <c r="DT4" i="21"/>
  <c r="DP4" i="21"/>
  <c r="DL4" i="21"/>
  <c r="DH4" i="21"/>
  <c r="DD4" i="21"/>
  <c r="CZ4" i="21"/>
  <c r="CV4" i="21"/>
  <c r="CR4" i="21"/>
  <c r="CN4" i="21"/>
  <c r="CJ4" i="21"/>
  <c r="CC4" i="21"/>
  <c r="BU4" i="21"/>
  <c r="D6" i="21"/>
  <c r="L6" i="21"/>
  <c r="T6" i="21"/>
  <c r="AB6" i="21"/>
  <c r="AJ6" i="21"/>
  <c r="AR6" i="21"/>
  <c r="AZ6" i="21"/>
  <c r="BH6" i="21"/>
  <c r="BQ6" i="21"/>
  <c r="BY6" i="21"/>
  <c r="CG6" i="21"/>
  <c r="CO6" i="21"/>
  <c r="CW6" i="21"/>
  <c r="DE6" i="21"/>
  <c r="DM6" i="21"/>
  <c r="DU6" i="21"/>
  <c r="D8" i="21"/>
  <c r="L8" i="21"/>
  <c r="T8" i="21"/>
  <c r="AB8" i="21"/>
  <c r="AJ8" i="21"/>
  <c r="AR8" i="21"/>
  <c r="AZ8" i="21"/>
  <c r="BH8" i="21"/>
  <c r="BQ8" i="21"/>
  <c r="BY8" i="21"/>
  <c r="CG8" i="21"/>
  <c r="CO8" i="21"/>
  <c r="CW8" i="21"/>
  <c r="DE8" i="21"/>
  <c r="DM8" i="21"/>
  <c r="DU8" i="21"/>
  <c r="D10" i="21"/>
  <c r="L10" i="21"/>
  <c r="T10" i="21"/>
  <c r="AB10" i="21"/>
  <c r="AJ10" i="21"/>
  <c r="AR10" i="21"/>
  <c r="AZ10" i="21"/>
  <c r="BH10" i="21"/>
  <c r="BQ10" i="21"/>
  <c r="BY10" i="21"/>
  <c r="CG10" i="21"/>
  <c r="CO10" i="21"/>
  <c r="CW10" i="21"/>
  <c r="DE10" i="21"/>
  <c r="DM10" i="21"/>
  <c r="DU10" i="21"/>
  <c r="D12" i="21"/>
  <c r="L12" i="21"/>
  <c r="T12" i="21"/>
  <c r="AB12" i="21"/>
  <c r="AJ12" i="21"/>
  <c r="AR12" i="21"/>
  <c r="AZ12" i="21"/>
  <c r="BH12" i="21"/>
  <c r="BQ12" i="21"/>
  <c r="BY12" i="21"/>
  <c r="CG12" i="21"/>
  <c r="CO12" i="21"/>
  <c r="CW12" i="21"/>
  <c r="DE12" i="21"/>
  <c r="DM12" i="21"/>
  <c r="DU12" i="21"/>
  <c r="D14" i="21"/>
  <c r="L14" i="21"/>
  <c r="T14" i="21"/>
  <c r="AB14" i="21"/>
  <c r="AJ14" i="21"/>
  <c r="AR14" i="21"/>
  <c r="AZ14" i="21"/>
  <c r="BH14" i="21"/>
  <c r="BQ14" i="21"/>
  <c r="BY14" i="21"/>
  <c r="CG14" i="21"/>
  <c r="CO14" i="21"/>
  <c r="CW14" i="21"/>
  <c r="DE14" i="21"/>
  <c r="DM14" i="21"/>
  <c r="DU14" i="21"/>
  <c r="D16" i="21"/>
  <c r="L16" i="21"/>
  <c r="T16" i="21"/>
  <c r="AB16" i="21"/>
  <c r="AJ16" i="21"/>
  <c r="AR16" i="21"/>
  <c r="AZ16" i="21"/>
  <c r="BH16" i="21"/>
  <c r="BQ16" i="21"/>
  <c r="BY16" i="21"/>
  <c r="CG16" i="21"/>
  <c r="CO16" i="21"/>
  <c r="CW16" i="21"/>
  <c r="DE16" i="21"/>
  <c r="DM16" i="21"/>
  <c r="DU16" i="21"/>
  <c r="D18" i="21"/>
  <c r="L18" i="21"/>
  <c r="T18" i="21"/>
  <c r="AB18" i="21"/>
  <c r="AJ18" i="21"/>
  <c r="AR18" i="21"/>
  <c r="AZ18" i="21"/>
  <c r="BH18" i="21"/>
  <c r="BQ18" i="21"/>
  <c r="BY18" i="21"/>
  <c r="CG18" i="21"/>
  <c r="CO18" i="21"/>
  <c r="CW18" i="21"/>
  <c r="DE18" i="21"/>
  <c r="DM18" i="21"/>
  <c r="DU18" i="21"/>
  <c r="D20" i="21"/>
  <c r="L20" i="21"/>
  <c r="T20" i="21"/>
  <c r="AB20" i="21"/>
  <c r="AJ20" i="21"/>
  <c r="AR20" i="21"/>
  <c r="AZ20" i="21"/>
  <c r="FZ20" i="21" s="1"/>
  <c r="BH20" i="21"/>
  <c r="BQ20" i="21"/>
  <c r="BY20" i="21"/>
  <c r="CG20" i="21"/>
  <c r="CO20" i="21"/>
  <c r="CW20" i="21"/>
  <c r="DE20" i="21"/>
  <c r="DS20" i="21"/>
  <c r="J22" i="21"/>
  <c r="Z22" i="21"/>
  <c r="AP22" i="21"/>
  <c r="BF22" i="21"/>
  <c r="BW22" i="21"/>
  <c r="CM22" i="21"/>
  <c r="DC22" i="21"/>
  <c r="DS22" i="21"/>
  <c r="J24" i="21"/>
  <c r="Z24" i="21"/>
  <c r="AP24" i="21"/>
  <c r="BF24" i="21"/>
  <c r="BW24" i="21"/>
  <c r="CM24" i="21"/>
  <c r="DC24" i="21"/>
  <c r="DS24" i="21"/>
  <c r="L26" i="21"/>
  <c r="AG26" i="21"/>
  <c r="BC26" i="21"/>
  <c r="BY26" i="21"/>
  <c r="CT26" i="21"/>
  <c r="DP26" i="21"/>
  <c r="L28" i="21"/>
  <c r="AG28" i="21"/>
  <c r="BC28" i="21"/>
  <c r="BY28" i="21"/>
  <c r="CT28" i="21"/>
  <c r="DT28" i="21"/>
  <c r="X30" i="21"/>
  <c r="AZ30" i="21"/>
  <c r="CC30" i="21"/>
  <c r="DF30" i="21"/>
  <c r="FS30" i="21" s="1"/>
  <c r="I32" i="21"/>
  <c r="AK32" i="21"/>
  <c r="BW32" i="21"/>
  <c r="DI32" i="21"/>
  <c r="U34" i="21"/>
  <c r="BH34" i="21"/>
  <c r="CY34" i="21"/>
  <c r="AF36" i="21"/>
  <c r="FF36" i="21" s="1"/>
  <c r="CK36" i="21"/>
  <c r="FT4" i="21"/>
  <c r="ED4" i="21"/>
  <c r="X46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27" i="2"/>
  <c r="M45" i="2"/>
  <c r="N45" i="2" s="1"/>
  <c r="O45" i="2" s="1"/>
  <c r="P45" i="2" s="1"/>
  <c r="Q45" i="2" s="1"/>
  <c r="R45" i="2" s="1"/>
  <c r="S45" i="2" s="1"/>
  <c r="D45" i="2"/>
  <c r="E45" i="2" s="1"/>
  <c r="F45" i="2" s="1"/>
  <c r="G45" i="2" s="1"/>
  <c r="H45" i="2" s="1"/>
  <c r="I45" i="2" s="1"/>
  <c r="J45" i="2" s="1"/>
  <c r="A47" i="16"/>
  <c r="A49" i="16" s="1"/>
  <c r="A50" i="16" s="1"/>
  <c r="A45" i="16"/>
  <c r="B6" i="16"/>
  <c r="A8" i="16" s="1"/>
  <c r="A16" i="16" s="1"/>
  <c r="A20" i="16" s="1"/>
  <c r="A6" i="16"/>
  <c r="A5" i="16"/>
  <c r="A19" i="16" s="1"/>
  <c r="A47" i="15"/>
  <c r="A49" i="15" s="1"/>
  <c r="A50" i="15" s="1"/>
  <c r="A45" i="15"/>
  <c r="B6" i="15"/>
  <c r="A8" i="15" s="1"/>
  <c r="A16" i="15" s="1"/>
  <c r="A20" i="15" s="1"/>
  <c r="A6" i="15"/>
  <c r="A5" i="15"/>
  <c r="A19" i="15" s="1"/>
  <c r="A47" i="14"/>
  <c r="A49" i="14" s="1"/>
  <c r="A50" i="14" s="1"/>
  <c r="A45" i="14"/>
  <c r="B6" i="14"/>
  <c r="A8" i="14" s="1"/>
  <c r="A16" i="14" s="1"/>
  <c r="A20" i="14" s="1"/>
  <c r="A6" i="14"/>
  <c r="A5" i="14"/>
  <c r="A19" i="14" s="1"/>
  <c r="A47" i="13"/>
  <c r="A49" i="13" s="1"/>
  <c r="A50" i="13" s="1"/>
  <c r="A45" i="13"/>
  <c r="B6" i="13"/>
  <c r="A8" i="13" s="1"/>
  <c r="A16" i="13" s="1"/>
  <c r="A20" i="13" s="1"/>
  <c r="A6" i="13"/>
  <c r="A5" i="13"/>
  <c r="A19" i="13" s="1"/>
  <c r="A47" i="12"/>
  <c r="A49" i="12" s="1"/>
  <c r="A50" i="12" s="1"/>
  <c r="A45" i="12"/>
  <c r="B6" i="12"/>
  <c r="A8" i="12" s="1"/>
  <c r="A16" i="12" s="1"/>
  <c r="A20" i="12" s="1"/>
  <c r="A6" i="12"/>
  <c r="A5" i="12"/>
  <c r="A19" i="12" s="1"/>
  <c r="A21" i="12" s="1"/>
  <c r="A47" i="11"/>
  <c r="A49" i="11" s="1"/>
  <c r="A50" i="11" s="1"/>
  <c r="A45" i="11"/>
  <c r="B6" i="11"/>
  <c r="A8" i="11" s="1"/>
  <c r="A16" i="11" s="1"/>
  <c r="A20" i="11" s="1"/>
  <c r="A6" i="11"/>
  <c r="A5" i="11"/>
  <c r="A19" i="11" s="1"/>
  <c r="A47" i="10"/>
  <c r="A49" i="10" s="1"/>
  <c r="A50" i="10" s="1"/>
  <c r="A45" i="10"/>
  <c r="B6" i="10"/>
  <c r="A8" i="10" s="1"/>
  <c r="A16" i="10" s="1"/>
  <c r="A20" i="10" s="1"/>
  <c r="A6" i="10"/>
  <c r="A5" i="10"/>
  <c r="A19" i="10" s="1"/>
  <c r="A47" i="9"/>
  <c r="A49" i="9" s="1"/>
  <c r="A50" i="9" s="1"/>
  <c r="A45" i="9"/>
  <c r="B6" i="9"/>
  <c r="A8" i="9" s="1"/>
  <c r="A16" i="9" s="1"/>
  <c r="A20" i="9" s="1"/>
  <c r="A6" i="9"/>
  <c r="A5" i="9"/>
  <c r="A19" i="9" s="1"/>
  <c r="A21" i="9" s="1"/>
  <c r="A47" i="8"/>
  <c r="A49" i="8" s="1"/>
  <c r="A50" i="8" s="1"/>
  <c r="A45" i="8"/>
  <c r="B6" i="8"/>
  <c r="A8" i="8" s="1"/>
  <c r="A16" i="8" s="1"/>
  <c r="A20" i="8" s="1"/>
  <c r="A6" i="8"/>
  <c r="A5" i="8"/>
  <c r="A19" i="8" s="1"/>
  <c r="A47" i="7"/>
  <c r="A49" i="7" s="1"/>
  <c r="A50" i="7" s="1"/>
  <c r="A45" i="7"/>
  <c r="A8" i="7"/>
  <c r="A16" i="7" s="1"/>
  <c r="A20" i="7" s="1"/>
  <c r="B6" i="7"/>
  <c r="A6" i="7"/>
  <c r="A5" i="7"/>
  <c r="A19" i="7" s="1"/>
  <c r="A47" i="6"/>
  <c r="A49" i="6" s="1"/>
  <c r="A50" i="6" s="1"/>
  <c r="A45" i="6"/>
  <c r="B6" i="6"/>
  <c r="A8" i="6" s="1"/>
  <c r="A16" i="6" s="1"/>
  <c r="A20" i="6" s="1"/>
  <c r="A6" i="6"/>
  <c r="A5" i="6"/>
  <c r="A19" i="6" s="1"/>
  <c r="A49" i="20"/>
  <c r="A50" i="20" s="1"/>
  <c r="A47" i="20"/>
  <c r="A45" i="20"/>
  <c r="B6" i="20"/>
  <c r="A8" i="20" s="1"/>
  <c r="A16" i="20" s="1"/>
  <c r="A20" i="20" s="1"/>
  <c r="A6" i="20"/>
  <c r="A5" i="20"/>
  <c r="A19" i="20" s="1"/>
  <c r="A47" i="19"/>
  <c r="A49" i="19" s="1"/>
  <c r="A50" i="19" s="1"/>
  <c r="A45" i="19"/>
  <c r="B6" i="19"/>
  <c r="A8" i="19" s="1"/>
  <c r="A16" i="19" s="1"/>
  <c r="A20" i="19" s="1"/>
  <c r="A6" i="19"/>
  <c r="A5" i="19"/>
  <c r="A19" i="19" s="1"/>
  <c r="A21" i="19" s="1"/>
  <c r="A47" i="18"/>
  <c r="A49" i="18" s="1"/>
  <c r="A50" i="18" s="1"/>
  <c r="A45" i="18"/>
  <c r="A8" i="18"/>
  <c r="A16" i="18" s="1"/>
  <c r="A20" i="18" s="1"/>
  <c r="B6" i="18"/>
  <c r="A6" i="18"/>
  <c r="A5" i="18"/>
  <c r="A19" i="18" s="1"/>
  <c r="A47" i="17"/>
  <c r="A49" i="17" s="1"/>
  <c r="A50" i="17" s="1"/>
  <c r="A45" i="17"/>
  <c r="B6" i="17"/>
  <c r="A8" i="17" s="1"/>
  <c r="A16" i="17" s="1"/>
  <c r="A20" i="17" s="1"/>
  <c r="A6" i="17"/>
  <c r="A5" i="17"/>
  <c r="A19" i="17" s="1"/>
  <c r="GJ12" i="21" l="1"/>
  <c r="EV18" i="21"/>
  <c r="A21" i="18"/>
  <c r="A21" i="13"/>
  <c r="U47" i="2"/>
  <c r="S4" i="2" s="1"/>
  <c r="EX32" i="21"/>
  <c r="EF14" i="21"/>
  <c r="EC32" i="21"/>
  <c r="EI32" i="21"/>
  <c r="EU30" i="21"/>
  <c r="EK30" i="21"/>
  <c r="EG30" i="21"/>
  <c r="FW30" i="21"/>
  <c r="ER30" i="21"/>
  <c r="FX30" i="21"/>
  <c r="FJ22" i="21"/>
  <c r="FN22" i="21"/>
  <c r="EU22" i="21"/>
  <c r="GA22" i="21"/>
  <c r="ES22" i="21"/>
  <c r="FY22" i="21"/>
  <c r="EU14" i="21"/>
  <c r="GA14" i="21"/>
  <c r="ES14" i="21"/>
  <c r="FY14" i="21"/>
  <c r="EU6" i="21"/>
  <c r="GA6" i="21"/>
  <c r="ES6" i="21"/>
  <c r="FY6" i="21"/>
  <c r="FB28" i="21"/>
  <c r="EF24" i="21"/>
  <c r="FH16" i="21"/>
  <c r="FH8" i="21"/>
  <c r="EF4" i="21"/>
  <c r="EV16" i="21"/>
  <c r="EN10" i="21"/>
  <c r="EV14" i="21"/>
  <c r="FV30" i="21"/>
  <c r="FY30" i="21"/>
  <c r="FN30" i="21"/>
  <c r="FB30" i="21"/>
  <c r="EB30" i="21"/>
  <c r="FH30" i="21"/>
  <c r="ED22" i="21"/>
  <c r="EH22" i="21"/>
  <c r="EE22" i="21"/>
  <c r="FK22" i="21"/>
  <c r="EC22" i="21"/>
  <c r="FI22" i="21"/>
  <c r="EE14" i="21"/>
  <c r="FK14" i="21"/>
  <c r="EC14" i="21"/>
  <c r="FI14" i="21"/>
  <c r="EE6" i="21"/>
  <c r="FK6" i="21"/>
  <c r="EC6" i="21"/>
  <c r="FI6" i="21"/>
  <c r="EB20" i="21"/>
  <c r="FH14" i="21"/>
  <c r="GB14" i="21"/>
  <c r="EL4" i="21"/>
  <c r="GH4" i="21"/>
  <c r="FX18" i="21"/>
  <c r="FX14" i="21"/>
  <c r="ER14" i="21"/>
  <c r="FX12" i="21"/>
  <c r="FX10" i="21"/>
  <c r="FX6" i="21"/>
  <c r="FM28" i="21"/>
  <c r="EN22" i="21"/>
  <c r="FL18" i="21"/>
  <c r="EF8" i="21"/>
  <c r="FF4" i="21"/>
  <c r="FV4" i="21"/>
  <c r="GL4" i="21"/>
  <c r="FO30" i="21"/>
  <c r="FB26" i="21"/>
  <c r="EL34" i="21"/>
  <c r="FX4" i="21"/>
  <c r="EQ28" i="21"/>
  <c r="FD20" i="21"/>
  <c r="FD16" i="21"/>
  <c r="GJ14" i="21"/>
  <c r="FD14" i="21"/>
  <c r="EF12" i="21"/>
  <c r="FL10" i="21"/>
  <c r="FL8" i="21"/>
  <c r="FL6" i="21"/>
  <c r="GD32" i="21"/>
  <c r="ER32" i="21"/>
  <c r="FE30" i="21"/>
  <c r="FD10" i="21"/>
  <c r="EM30" i="21"/>
  <c r="GB22" i="21"/>
  <c r="EZ20" i="21"/>
  <c r="GF18" i="21"/>
  <c r="EZ18" i="21"/>
  <c r="GF16" i="21"/>
  <c r="EZ16" i="21"/>
  <c r="GF14" i="21"/>
  <c r="EZ14" i="21"/>
  <c r="GF12" i="21"/>
  <c r="EZ12" i="21"/>
  <c r="GF10" i="21"/>
  <c r="EZ10" i="21"/>
  <c r="GF8" i="21"/>
  <c r="EZ8" i="21"/>
  <c r="GF6" i="21"/>
  <c r="EZ6" i="21"/>
  <c r="FZ28" i="21"/>
  <c r="GG30" i="21"/>
  <c r="EJ4" i="21"/>
  <c r="EZ4" i="21"/>
  <c r="GF4" i="21"/>
  <c r="FD24" i="21"/>
  <c r="FD22" i="21"/>
  <c r="FT18" i="21"/>
  <c r="EN18" i="21"/>
  <c r="FT16" i="21"/>
  <c r="FT14" i="21"/>
  <c r="GB12" i="21"/>
  <c r="EV12" i="21"/>
  <c r="EV10" i="21"/>
  <c r="GB8" i="21"/>
  <c r="EV8" i="21"/>
  <c r="EX30" i="21"/>
  <c r="FJ4" i="21"/>
  <c r="EV24" i="21"/>
  <c r="FP20" i="21"/>
  <c r="FP18" i="21"/>
  <c r="FP16" i="21"/>
  <c r="FP14" i="21"/>
  <c r="FP12" i="21"/>
  <c r="FP10" i="21"/>
  <c r="FP8" i="21"/>
  <c r="FP6" i="21"/>
  <c r="FC4" i="21"/>
  <c r="FS4" i="21"/>
  <c r="GI4" i="21"/>
  <c r="GB32" i="21"/>
  <c r="EC30" i="21"/>
  <c r="FF14" i="21"/>
  <c r="FV12" i="21"/>
  <c r="EP12" i="21"/>
  <c r="FF6" i="21"/>
  <c r="ER4" i="21"/>
  <c r="FH4" i="21"/>
  <c r="EZ34" i="21"/>
  <c r="FB34" i="21"/>
  <c r="EE34" i="21"/>
  <c r="EP34" i="21"/>
  <c r="FR34" i="21"/>
  <c r="EF18" i="21"/>
  <c r="EP30" i="21"/>
  <c r="FA30" i="21"/>
  <c r="EG28" i="21"/>
  <c r="GB24" i="21"/>
  <c r="FK4" i="21"/>
  <c r="GA4" i="21"/>
  <c r="EB34" i="21"/>
  <c r="FF20" i="21"/>
  <c r="FV14" i="21"/>
  <c r="EP14" i="21"/>
  <c r="FF12" i="21"/>
  <c r="FV6" i="21"/>
  <c r="EP6" i="21"/>
  <c r="EX34" i="21"/>
  <c r="EN34" i="21"/>
  <c r="FJ34" i="21"/>
  <c r="GE34" i="21"/>
  <c r="EK34" i="21"/>
  <c r="FA34" i="21"/>
  <c r="FQ34" i="21"/>
  <c r="GG34" i="21"/>
  <c r="EY26" i="21"/>
  <c r="EI26" i="21"/>
  <c r="FZ26" i="21"/>
  <c r="EP26" i="21"/>
  <c r="FK26" i="21"/>
  <c r="GG26" i="21"/>
  <c r="EM26" i="21"/>
  <c r="FI26" i="21"/>
  <c r="GD26" i="21"/>
  <c r="GB18" i="21"/>
  <c r="EX4" i="21"/>
  <c r="FN4" i="21"/>
  <c r="GD4" i="21"/>
  <c r="EE30" i="21"/>
  <c r="GK30" i="21"/>
  <c r="FC30" i="21"/>
  <c r="GE30" i="21"/>
  <c r="ES30" i="21"/>
  <c r="FU30" i="21"/>
  <c r="EL30" i="21"/>
  <c r="FG30" i="21"/>
  <c r="GC30" i="21"/>
  <c r="EF30" i="21"/>
  <c r="EV30" i="21"/>
  <c r="FL30" i="21"/>
  <c r="EB18" i="21"/>
  <c r="EB16" i="21"/>
  <c r="EB10" i="21"/>
  <c r="EB8" i="21"/>
  <c r="EJ36" i="21"/>
  <c r="GJ24" i="21"/>
  <c r="GJ22" i="21"/>
  <c r="GJ20" i="21"/>
  <c r="FD18" i="21"/>
  <c r="EF16" i="21"/>
  <c r="FT8" i="21"/>
  <c r="EN8" i="21"/>
  <c r="FT6" i="21"/>
  <c r="EN6" i="21"/>
  <c r="GL34" i="21"/>
  <c r="EJ34" i="21"/>
  <c r="GI34" i="21"/>
  <c r="EN26" i="21"/>
  <c r="FD26" i="21"/>
  <c r="FT26" i="21"/>
  <c r="GJ26" i="21"/>
  <c r="EQ18" i="21"/>
  <c r="FG18" i="21"/>
  <c r="FW18" i="21"/>
  <c r="GM18" i="21"/>
  <c r="EO18" i="21"/>
  <c r="FE18" i="21"/>
  <c r="FU18" i="21"/>
  <c r="GK18" i="21"/>
  <c r="EQ10" i="21"/>
  <c r="FG10" i="21"/>
  <c r="FW10" i="21"/>
  <c r="GM10" i="21"/>
  <c r="EO10" i="21"/>
  <c r="FE10" i="21"/>
  <c r="FU10" i="21"/>
  <c r="GK10" i="21"/>
  <c r="FK32" i="21"/>
  <c r="FZ30" i="21"/>
  <c r="FG26" i="21"/>
  <c r="FI30" i="21"/>
  <c r="EO30" i="21"/>
  <c r="FQ30" i="21"/>
  <c r="ED30" i="21"/>
  <c r="FF30" i="21"/>
  <c r="GI30" i="21"/>
  <c r="EW30" i="21"/>
  <c r="FR30" i="21"/>
  <c r="GM30" i="21"/>
  <c r="EN30" i="21"/>
  <c r="ER20" i="21"/>
  <c r="ER12" i="21"/>
  <c r="FM26" i="21"/>
  <c r="EN20" i="21"/>
  <c r="GB16" i="21"/>
  <c r="GH34" i="21"/>
  <c r="EP4" i="21"/>
  <c r="GL32" i="21"/>
  <c r="FW26" i="21"/>
  <c r="FT20" i="21"/>
  <c r="EL26" i="21"/>
  <c r="EJ24" i="21"/>
  <c r="GH20" i="21"/>
  <c r="GD30" i="21"/>
  <c r="EJ20" i="21"/>
  <c r="EJ18" i="21"/>
  <c r="EJ16" i="21"/>
  <c r="EJ14" i="21"/>
  <c r="EJ12" i="21"/>
  <c r="EJ10" i="21"/>
  <c r="EJ8" i="21"/>
  <c r="EJ6" i="21"/>
  <c r="GD36" i="21"/>
  <c r="EQ26" i="21"/>
  <c r="EN16" i="21"/>
  <c r="EN14" i="21"/>
  <c r="GF20" i="21"/>
  <c r="FL36" i="21"/>
  <c r="EU36" i="21"/>
  <c r="EH36" i="21"/>
  <c r="FK36" i="21"/>
  <c r="GM36" i="21"/>
  <c r="EZ36" i="21"/>
  <c r="GB36" i="21"/>
  <c r="EN36" i="21"/>
  <c r="FJ36" i="21"/>
  <c r="GE36" i="21"/>
  <c r="EK36" i="21"/>
  <c r="FA36" i="21"/>
  <c r="FQ36" i="21"/>
  <c r="GG36" i="21"/>
  <c r="EY28" i="21"/>
  <c r="EI28" i="21"/>
  <c r="EP28" i="21"/>
  <c r="FK28" i="21"/>
  <c r="GG28" i="21"/>
  <c r="GD28" i="21"/>
  <c r="EK20" i="21"/>
  <c r="FA20" i="21"/>
  <c r="FQ20" i="21"/>
  <c r="GG20" i="21"/>
  <c r="EM12" i="21"/>
  <c r="FC12" i="21"/>
  <c r="FS12" i="21"/>
  <c r="GI12" i="21"/>
  <c r="EK12" i="21"/>
  <c r="FA12" i="21"/>
  <c r="FQ12" i="21"/>
  <c r="GG12" i="21"/>
  <c r="FP4" i="21"/>
  <c r="GB30" i="21"/>
  <c r="EL22" i="21"/>
  <c r="FR22" i="21"/>
  <c r="EP22" i="21"/>
  <c r="FV22" i="21"/>
  <c r="EI22" i="21"/>
  <c r="EY22" i="21"/>
  <c r="FO22" i="21"/>
  <c r="GE22" i="21"/>
  <c r="EG22" i="21"/>
  <c r="EW22" i="21"/>
  <c r="FM22" i="21"/>
  <c r="GC22" i="21"/>
  <c r="EI14" i="21"/>
  <c r="EY14" i="21"/>
  <c r="FO14" i="21"/>
  <c r="GE14" i="21"/>
  <c r="EG14" i="21"/>
  <c r="EW14" i="21"/>
  <c r="FM14" i="21"/>
  <c r="GC14" i="21"/>
  <c r="EI6" i="21"/>
  <c r="EY6" i="21"/>
  <c r="FO6" i="21"/>
  <c r="GE6" i="21"/>
  <c r="EG6" i="21"/>
  <c r="EW6" i="21"/>
  <c r="FM6" i="21"/>
  <c r="GC6" i="21"/>
  <c r="FW28" i="21"/>
  <c r="FL24" i="21"/>
  <c r="FL22" i="21"/>
  <c r="EP32" i="21"/>
  <c r="FT22" i="21"/>
  <c r="FL14" i="21"/>
  <c r="FT12" i="21"/>
  <c r="EN12" i="21"/>
  <c r="GB6" i="21"/>
  <c r="EV6" i="21"/>
  <c r="FD30" i="21"/>
  <c r="FT30" i="21"/>
  <c r="GJ30" i="21"/>
  <c r="FB22" i="21"/>
  <c r="GH22" i="21"/>
  <c r="FF22" i="21"/>
  <c r="GL22" i="21"/>
  <c r="EQ22" i="21"/>
  <c r="FG22" i="21"/>
  <c r="FW22" i="21"/>
  <c r="GM22" i="21"/>
  <c r="EO22" i="21"/>
  <c r="FE22" i="21"/>
  <c r="FU22" i="21"/>
  <c r="GK22" i="21"/>
  <c r="EQ14" i="21"/>
  <c r="FG14" i="21"/>
  <c r="FW14" i="21"/>
  <c r="GM14" i="21"/>
  <c r="EO14" i="21"/>
  <c r="FE14" i="21"/>
  <c r="FU14" i="21"/>
  <c r="GK14" i="21"/>
  <c r="EQ6" i="21"/>
  <c r="FG6" i="21"/>
  <c r="FW6" i="21"/>
  <c r="GM6" i="21"/>
  <c r="EO6" i="21"/>
  <c r="FE6" i="21"/>
  <c r="FU6" i="21"/>
  <c r="GK6" i="21"/>
  <c r="EQ4" i="21"/>
  <c r="FG4" i="21"/>
  <c r="FW4" i="21"/>
  <c r="GM4" i="21"/>
  <c r="FF34" i="21"/>
  <c r="EM36" i="21"/>
  <c r="EF36" i="21"/>
  <c r="GL36" i="21"/>
  <c r="FC36" i="21"/>
  <c r="GF36" i="21"/>
  <c r="ER36" i="21"/>
  <c r="FV36" i="21"/>
  <c r="EI36" i="21"/>
  <c r="FD36" i="21"/>
  <c r="FZ36" i="21"/>
  <c r="EG36" i="21"/>
  <c r="EW36" i="21"/>
  <c r="FM36" i="21"/>
  <c r="GC36" i="21"/>
  <c r="EO28" i="21"/>
  <c r="GE28" i="21"/>
  <c r="FO28" i="21"/>
  <c r="EK28" i="21"/>
  <c r="FF28" i="21"/>
  <c r="EG20" i="21"/>
  <c r="EW20" i="21"/>
  <c r="FM20" i="21"/>
  <c r="GC20" i="21"/>
  <c r="EI12" i="21"/>
  <c r="EY12" i="21"/>
  <c r="FO12" i="21"/>
  <c r="GE12" i="21"/>
  <c r="EG12" i="21"/>
  <c r="EW12" i="21"/>
  <c r="FM12" i="21"/>
  <c r="GC12" i="21"/>
  <c r="EI30" i="21"/>
  <c r="EW26" i="21"/>
  <c r="ER24" i="21"/>
  <c r="EB22" i="21"/>
  <c r="FN20" i="21"/>
  <c r="EH20" i="21"/>
  <c r="GA34" i="21"/>
  <c r="FL20" i="21"/>
  <c r="EF20" i="21"/>
  <c r="EF6" i="21"/>
  <c r="FI32" i="21"/>
  <c r="GA32" i="21"/>
  <c r="ES32" i="21"/>
  <c r="FT32" i="21"/>
  <c r="FJ20" i="21"/>
  <c r="FJ18" i="21"/>
  <c r="FJ16" i="21"/>
  <c r="FJ14" i="21"/>
  <c r="FJ12" i="21"/>
  <c r="ED10" i="21"/>
  <c r="ED8" i="21"/>
  <c r="FJ6" i="21"/>
  <c r="GA28" i="21"/>
  <c r="FC28" i="21"/>
  <c r="EF28" i="21"/>
  <c r="FL28" i="21"/>
  <c r="EI20" i="21"/>
  <c r="FO20" i="21"/>
  <c r="GE20" i="21"/>
  <c r="EU34" i="21"/>
  <c r="FB20" i="21"/>
  <c r="FB18" i="21"/>
  <c r="GH16" i="21"/>
  <c r="GH14" i="21"/>
  <c r="GH12" i="21"/>
  <c r="GH10" i="21"/>
  <c r="FB8" i="21"/>
  <c r="FB6" i="21"/>
  <c r="EU4" i="21"/>
  <c r="FC20" i="21"/>
  <c r="EL28" i="21"/>
  <c r="GC26" i="21"/>
  <c r="FP24" i="21"/>
  <c r="FP22" i="21"/>
  <c r="FR20" i="21"/>
  <c r="EL20" i="21"/>
  <c r="FR18" i="21"/>
  <c r="EL18" i="21"/>
  <c r="FR16" i="21"/>
  <c r="EL16" i="21"/>
  <c r="FR14" i="21"/>
  <c r="EL14" i="21"/>
  <c r="FR12" i="21"/>
  <c r="EL12" i="21"/>
  <c r="FR10" i="21"/>
  <c r="EL10" i="21"/>
  <c r="FR8" i="21"/>
  <c r="EL8" i="21"/>
  <c r="FR6" i="21"/>
  <c r="EL6" i="21"/>
  <c r="EM4" i="21"/>
  <c r="FW36" i="21"/>
  <c r="EV36" i="21"/>
  <c r="FX36" i="21"/>
  <c r="EL36" i="21"/>
  <c r="FN36" i="21"/>
  <c r="ED36" i="21"/>
  <c r="EY36" i="21"/>
  <c r="FT36" i="21"/>
  <c r="EC36" i="21"/>
  <c r="ES36" i="21"/>
  <c r="FI36" i="21"/>
  <c r="FY36" i="21"/>
  <c r="ED28" i="21"/>
  <c r="FU28" i="21"/>
  <c r="FE28" i="21"/>
  <c r="EE28" i="21"/>
  <c r="FA28" i="21"/>
  <c r="FV28" i="21"/>
  <c r="EC28" i="21"/>
  <c r="EX28" i="21"/>
  <c r="EB28" i="21"/>
  <c r="ER28" i="21"/>
  <c r="FH28" i="21"/>
  <c r="FX28" i="21"/>
  <c r="EE20" i="21"/>
  <c r="EU20" i="21"/>
  <c r="FK20" i="21"/>
  <c r="GA20" i="21"/>
  <c r="EC20" i="21"/>
  <c r="ES20" i="21"/>
  <c r="FI20" i="21"/>
  <c r="FY20" i="21"/>
  <c r="EE12" i="21"/>
  <c r="EU12" i="21"/>
  <c r="FK12" i="21"/>
  <c r="GA12" i="21"/>
  <c r="EC12" i="21"/>
  <c r="ES12" i="21"/>
  <c r="FI12" i="21"/>
  <c r="FY12" i="21"/>
  <c r="EB36" i="21"/>
  <c r="EW28" i="21"/>
  <c r="FR26" i="21"/>
  <c r="FH24" i="21"/>
  <c r="ER22" i="21"/>
  <c r="FV20" i="21"/>
  <c r="EP20" i="21"/>
  <c r="FN18" i="21"/>
  <c r="EH18" i="21"/>
  <c r="FN16" i="21"/>
  <c r="EH16" i="21"/>
  <c r="FN10" i="21"/>
  <c r="EH10" i="21"/>
  <c r="FN8" i="21"/>
  <c r="EH8" i="21"/>
  <c r="FH34" i="21"/>
  <c r="FP34" i="21"/>
  <c r="GH28" i="21"/>
  <c r="GL16" i="21"/>
  <c r="FF16" i="21"/>
  <c r="GD14" i="21"/>
  <c r="EX14" i="21"/>
  <c r="FN12" i="21"/>
  <c r="EH12" i="21"/>
  <c r="FF10" i="21"/>
  <c r="GL8" i="21"/>
  <c r="FF8" i="21"/>
  <c r="GD6" i="21"/>
  <c r="EX6" i="21"/>
  <c r="FS34" i="21"/>
  <c r="GB34" i="21"/>
  <c r="FL34" i="21"/>
  <c r="EV34" i="21"/>
  <c r="FX34" i="21"/>
  <c r="EI34" i="21"/>
  <c r="FD34" i="21"/>
  <c r="FZ34" i="21"/>
  <c r="EG34" i="21"/>
  <c r="EW34" i="21"/>
  <c r="FM34" i="21"/>
  <c r="GC34" i="21"/>
  <c r="EO26" i="21"/>
  <c r="GE26" i="21"/>
  <c r="FO26" i="21"/>
  <c r="EZ24" i="21"/>
  <c r="EZ22" i="21"/>
  <c r="ED20" i="21"/>
  <c r="ED18" i="21"/>
  <c r="ED16" i="21"/>
  <c r="ED14" i="21"/>
  <c r="ED12" i="21"/>
  <c r="FJ10" i="21"/>
  <c r="FJ8" i="21"/>
  <c r="ED6" i="21"/>
  <c r="EH28" i="21"/>
  <c r="FY28" i="21"/>
  <c r="EV28" i="21"/>
  <c r="GB28" i="21"/>
  <c r="EY20" i="21"/>
  <c r="FN34" i="21"/>
  <c r="FF18" i="21"/>
  <c r="GC28" i="21"/>
  <c r="EJ22" i="21"/>
  <c r="GH18" i="21"/>
  <c r="FB16" i="21"/>
  <c r="FB14" i="21"/>
  <c r="FB12" i="21"/>
  <c r="FB10" i="21"/>
  <c r="GH8" i="21"/>
  <c r="GH6" i="21"/>
  <c r="EQ36" i="21"/>
  <c r="EE4" i="21"/>
  <c r="FB36" i="21"/>
  <c r="EM28" i="21"/>
  <c r="FI28" i="21"/>
  <c r="EJ28" i="21"/>
  <c r="EZ28" i="21"/>
  <c r="FP28" i="21"/>
  <c r="GF28" i="21"/>
  <c r="EM20" i="21"/>
  <c r="FS20" i="21"/>
  <c r="GI20" i="21"/>
  <c r="EB26" i="21"/>
  <c r="EB24" i="21"/>
  <c r="GD18" i="21"/>
  <c r="EX18" i="21"/>
  <c r="GD16" i="21"/>
  <c r="EX16" i="21"/>
  <c r="GD10" i="21"/>
  <c r="EX10" i="21"/>
  <c r="GD8" i="21"/>
  <c r="EX8" i="21"/>
  <c r="FV34" i="21"/>
  <c r="FC34" i="21"/>
  <c r="GF34" i="21"/>
  <c r="FG28" i="21"/>
  <c r="GF24" i="21"/>
  <c r="GF22" i="21"/>
  <c r="ET20" i="21"/>
  <c r="FZ18" i="21"/>
  <c r="ET18" i="21"/>
  <c r="FZ16" i="21"/>
  <c r="ET16" i="21"/>
  <c r="FZ14" i="21"/>
  <c r="ET14" i="21"/>
  <c r="FZ12" i="21"/>
  <c r="ET12" i="21"/>
  <c r="FZ10" i="21"/>
  <c r="ET10" i="21"/>
  <c r="FZ8" i="21"/>
  <c r="ET8" i="21"/>
  <c r="FZ6" i="21"/>
  <c r="ET6" i="21"/>
  <c r="EH4" i="21"/>
  <c r="FE32" i="21"/>
  <c r="EI4" i="21"/>
  <c r="EY4" i="21"/>
  <c r="FO4" i="21"/>
  <c r="GE4" i="21"/>
  <c r="EO4" i="21"/>
  <c r="FE4" i="21"/>
  <c r="FU4" i="21"/>
  <c r="ED34" i="21"/>
  <c r="EY34" i="21"/>
  <c r="FT34" i="21"/>
  <c r="EC34" i="21"/>
  <c r="ES34" i="21"/>
  <c r="FI34" i="21"/>
  <c r="FY34" i="21"/>
  <c r="ED26" i="21"/>
  <c r="FU26" i="21"/>
  <c r="FE26" i="21"/>
  <c r="EE26" i="21"/>
  <c r="FA26" i="21"/>
  <c r="FV26" i="21"/>
  <c r="EC26" i="21"/>
  <c r="EX26" i="21"/>
  <c r="FS26" i="21"/>
  <c r="EF26" i="21"/>
  <c r="EV26" i="21"/>
  <c r="FL26" i="21"/>
  <c r="GB26" i="21"/>
  <c r="EI18" i="21"/>
  <c r="EY18" i="21"/>
  <c r="FO18" i="21"/>
  <c r="GE18" i="21"/>
  <c r="EG18" i="21"/>
  <c r="EW18" i="21"/>
  <c r="FM18" i="21"/>
  <c r="GC18" i="21"/>
  <c r="EI10" i="21"/>
  <c r="EY10" i="21"/>
  <c r="FO10" i="21"/>
  <c r="GE10" i="21"/>
  <c r="EG10" i="21"/>
  <c r="EW10" i="21"/>
  <c r="FM10" i="21"/>
  <c r="GC10" i="21"/>
  <c r="EK4" i="21"/>
  <c r="FA4" i="21"/>
  <c r="FQ4" i="21"/>
  <c r="GG4" i="21"/>
  <c r="FO32" i="21"/>
  <c r="EU32" i="21"/>
  <c r="FV32" i="21"/>
  <c r="EQ32" i="21"/>
  <c r="FM32" i="21"/>
  <c r="GM32" i="21"/>
  <c r="EN32" i="21"/>
  <c r="FD32" i="21"/>
  <c r="FU32" i="21"/>
  <c r="GK32" i="21"/>
  <c r="FB24" i="21"/>
  <c r="GH24" i="21"/>
  <c r="FF24" i="21"/>
  <c r="GL24" i="21"/>
  <c r="EQ24" i="21"/>
  <c r="FG24" i="21"/>
  <c r="FW24" i="21"/>
  <c r="GM24" i="21"/>
  <c r="EO24" i="21"/>
  <c r="FE24" i="21"/>
  <c r="FU24" i="21"/>
  <c r="GK24" i="21"/>
  <c r="EQ16" i="21"/>
  <c r="FG16" i="21"/>
  <c r="FW16" i="21"/>
  <c r="GM16" i="21"/>
  <c r="EO16" i="21"/>
  <c r="FE16" i="21"/>
  <c r="FU16" i="21"/>
  <c r="GK16" i="21"/>
  <c r="EQ8" i="21"/>
  <c r="FG8" i="21"/>
  <c r="FW8" i="21"/>
  <c r="GM8" i="21"/>
  <c r="EO8" i="21"/>
  <c r="FE8" i="21"/>
  <c r="FU8" i="21"/>
  <c r="GK8" i="21"/>
  <c r="GK4" i="21"/>
  <c r="GH32" i="21"/>
  <c r="FW32" i="21"/>
  <c r="FC32" i="21"/>
  <c r="GI32" i="21"/>
  <c r="EY32" i="21"/>
  <c r="EW32" i="21"/>
  <c r="FR32" i="21"/>
  <c r="EB32" i="21"/>
  <c r="FH32" i="21"/>
  <c r="FZ32" i="21"/>
  <c r="FY32" i="21"/>
  <c r="ED24" i="21"/>
  <c r="FJ24" i="21"/>
  <c r="EH24" i="21"/>
  <c r="FN24" i="21"/>
  <c r="EE24" i="21"/>
  <c r="EU24" i="21"/>
  <c r="FK24" i="21"/>
  <c r="GA24" i="21"/>
  <c r="EC24" i="21"/>
  <c r="ES24" i="21"/>
  <c r="FI24" i="21"/>
  <c r="FY24" i="21"/>
  <c r="EE16" i="21"/>
  <c r="EU16" i="21"/>
  <c r="FK16" i="21"/>
  <c r="GA16" i="21"/>
  <c r="EC16" i="21"/>
  <c r="ES16" i="21"/>
  <c r="FI16" i="21"/>
  <c r="FY16" i="21"/>
  <c r="EE8" i="21"/>
  <c r="EU8" i="21"/>
  <c r="FK8" i="21"/>
  <c r="GA8" i="21"/>
  <c r="EC8" i="21"/>
  <c r="ES8" i="21"/>
  <c r="FI8" i="21"/>
  <c r="FY8" i="21"/>
  <c r="EX36" i="21"/>
  <c r="FP36" i="21"/>
  <c r="FH36" i="21"/>
  <c r="EP36" i="21"/>
  <c r="FR36" i="21"/>
  <c r="EE36" i="21"/>
  <c r="FG36" i="21"/>
  <c r="GI36" i="21"/>
  <c r="ET36" i="21"/>
  <c r="FO36" i="21"/>
  <c r="GJ36" i="21"/>
  <c r="EO36" i="21"/>
  <c r="FE36" i="21"/>
  <c r="FU36" i="21"/>
  <c r="GK36" i="21"/>
  <c r="FJ28" i="21"/>
  <c r="ET28" i="21"/>
  <c r="GK28" i="21"/>
  <c r="EU28" i="21"/>
  <c r="FQ28" i="21"/>
  <c r="GL28" i="21"/>
  <c r="ES28" i="21"/>
  <c r="FN28" i="21"/>
  <c r="GI28" i="21"/>
  <c r="EN28" i="21"/>
  <c r="FD28" i="21"/>
  <c r="FT28" i="21"/>
  <c r="GJ28" i="21"/>
  <c r="EQ20" i="21"/>
  <c r="FG20" i="21"/>
  <c r="FW20" i="21"/>
  <c r="GM20" i="21"/>
  <c r="EO20" i="21"/>
  <c r="FE20" i="21"/>
  <c r="FU20" i="21"/>
  <c r="GK20" i="21"/>
  <c r="EQ12" i="21"/>
  <c r="FG12" i="21"/>
  <c r="FW12" i="21"/>
  <c r="GM12" i="21"/>
  <c r="EO12" i="21"/>
  <c r="FE12" i="21"/>
  <c r="FU12" i="21"/>
  <c r="GK12" i="21"/>
  <c r="FR28" i="21"/>
  <c r="FX24" i="21"/>
  <c r="FH22" i="21"/>
  <c r="GD20" i="21"/>
  <c r="EX20" i="21"/>
  <c r="FV18" i="21"/>
  <c r="EP18" i="21"/>
  <c r="FV16" i="21"/>
  <c r="EP16" i="21"/>
  <c r="FN14" i="21"/>
  <c r="EH14" i="21"/>
  <c r="GD12" i="21"/>
  <c r="EX12" i="21"/>
  <c r="FV10" i="21"/>
  <c r="EP10" i="21"/>
  <c r="FV8" i="21"/>
  <c r="EP8" i="21"/>
  <c r="FN6" i="21"/>
  <c r="EH6" i="21"/>
  <c r="EF34" i="21"/>
  <c r="EQ34" i="21"/>
  <c r="ER34" i="21"/>
  <c r="GD34" i="21"/>
  <c r="FG34" i="21"/>
  <c r="EH34" i="21"/>
  <c r="FK34" i="21"/>
  <c r="GM34" i="21"/>
  <c r="ET34" i="21"/>
  <c r="FO34" i="21"/>
  <c r="GJ34" i="21"/>
  <c r="EO34" i="21"/>
  <c r="FE34" i="21"/>
  <c r="FU34" i="21"/>
  <c r="GK34" i="21"/>
  <c r="FJ26" i="21"/>
  <c r="ET26" i="21"/>
  <c r="GK26" i="21"/>
  <c r="EU26" i="21"/>
  <c r="FQ26" i="21"/>
  <c r="GL26" i="21"/>
  <c r="ES26" i="21"/>
  <c r="FN26" i="21"/>
  <c r="GI26" i="21"/>
  <c r="ER26" i="21"/>
  <c r="FH26" i="21"/>
  <c r="FX26" i="21"/>
  <c r="EE18" i="21"/>
  <c r="EU18" i="21"/>
  <c r="FK18" i="21"/>
  <c r="GA18" i="21"/>
  <c r="EC18" i="21"/>
  <c r="ES18" i="21"/>
  <c r="FI18" i="21"/>
  <c r="FY18" i="21"/>
  <c r="EE10" i="21"/>
  <c r="EU10" i="21"/>
  <c r="FK10" i="21"/>
  <c r="GA10" i="21"/>
  <c r="EC10" i="21"/>
  <c r="ES10" i="21"/>
  <c r="FI10" i="21"/>
  <c r="FY10" i="21"/>
  <c r="FS36" i="21"/>
  <c r="FS32" i="21"/>
  <c r="EK26" i="21"/>
  <c r="FF26" i="21"/>
  <c r="GA26" i="21"/>
  <c r="EH26" i="21"/>
  <c r="FC26" i="21"/>
  <c r="FY26" i="21"/>
  <c r="EJ26" i="21"/>
  <c r="EZ26" i="21"/>
  <c r="FP26" i="21"/>
  <c r="GF26" i="21"/>
  <c r="EM18" i="21"/>
  <c r="FC18" i="21"/>
  <c r="FS18" i="21"/>
  <c r="GI18" i="21"/>
  <c r="EK18" i="21"/>
  <c r="FA18" i="21"/>
  <c r="FQ18" i="21"/>
  <c r="GG18" i="21"/>
  <c r="EM10" i="21"/>
  <c r="FC10" i="21"/>
  <c r="FS10" i="21"/>
  <c r="GI10" i="21"/>
  <c r="EK10" i="21"/>
  <c r="FA10" i="21"/>
  <c r="FQ10" i="21"/>
  <c r="GG10" i="21"/>
  <c r="EC4" i="21"/>
  <c r="ES4" i="21"/>
  <c r="FI4" i="21"/>
  <c r="FY4" i="21"/>
  <c r="EB4" i="21"/>
  <c r="EM32" i="21"/>
  <c r="EE32" i="21"/>
  <c r="EH32" i="21"/>
  <c r="FJ32" i="21"/>
  <c r="ED32" i="21"/>
  <c r="FF32" i="21"/>
  <c r="EG32" i="21"/>
  <c r="FB32" i="21"/>
  <c r="FX32" i="21"/>
  <c r="EF32" i="21"/>
  <c r="EV32" i="21"/>
  <c r="GE32" i="21"/>
  <c r="GC32" i="21"/>
  <c r="EL24" i="21"/>
  <c r="FR24" i="21"/>
  <c r="EP24" i="21"/>
  <c r="FV24" i="21"/>
  <c r="EI24" i="21"/>
  <c r="EY24" i="21"/>
  <c r="FO24" i="21"/>
  <c r="GE24" i="21"/>
  <c r="EG24" i="21"/>
  <c r="EW24" i="21"/>
  <c r="FM24" i="21"/>
  <c r="GC24" i="21"/>
  <c r="EI16" i="21"/>
  <c r="EY16" i="21"/>
  <c r="FO16" i="21"/>
  <c r="GE16" i="21"/>
  <c r="EG16" i="21"/>
  <c r="EW16" i="21"/>
  <c r="FM16" i="21"/>
  <c r="GC16" i="21"/>
  <c r="EI8" i="21"/>
  <c r="EY8" i="21"/>
  <c r="FO8" i="21"/>
  <c r="GE8" i="21"/>
  <c r="EG8" i="21"/>
  <c r="EW8" i="21"/>
  <c r="FM8" i="21"/>
  <c r="GC8" i="21"/>
  <c r="EG4" i="21"/>
  <c r="EW4" i="21"/>
  <c r="FM4" i="21"/>
  <c r="GC4" i="21"/>
  <c r="FA32" i="21"/>
  <c r="ET32" i="21"/>
  <c r="EO32" i="21"/>
  <c r="FQ32" i="21"/>
  <c r="EK32" i="21"/>
  <c r="FN32" i="21"/>
  <c r="EL32" i="21"/>
  <c r="FG32" i="21"/>
  <c r="GF32" i="21"/>
  <c r="EJ32" i="21"/>
  <c r="EZ32" i="21"/>
  <c r="FP32" i="21"/>
  <c r="GJ32" i="21"/>
  <c r="GG32" i="21"/>
  <c r="ET24" i="21"/>
  <c r="FZ24" i="21"/>
  <c r="EX24" i="21"/>
  <c r="GD24" i="21"/>
  <c r="EM24" i="21"/>
  <c r="FC24" i="21"/>
  <c r="FS24" i="21"/>
  <c r="GI24" i="21"/>
  <c r="EK24" i="21"/>
  <c r="FA24" i="21"/>
  <c r="FQ24" i="21"/>
  <c r="GG24" i="21"/>
  <c r="EM16" i="21"/>
  <c r="FC16" i="21"/>
  <c r="FS16" i="21"/>
  <c r="GI16" i="21"/>
  <c r="EK16" i="21"/>
  <c r="FA16" i="21"/>
  <c r="FQ16" i="21"/>
  <c r="GG16" i="21"/>
  <c r="EM8" i="21"/>
  <c r="FC8" i="21"/>
  <c r="FS8" i="21"/>
  <c r="GI8" i="21"/>
  <c r="EK8" i="21"/>
  <c r="FA8" i="21"/>
  <c r="FQ8" i="21"/>
  <c r="GG8" i="21"/>
  <c r="A21" i="16"/>
  <c r="A21" i="15"/>
  <c r="A21" i="14"/>
  <c r="A21" i="11"/>
  <c r="A21" i="10"/>
  <c r="A21" i="8"/>
  <c r="A21" i="7"/>
  <c r="A21" i="6"/>
  <c r="A21" i="20"/>
  <c r="A21" i="17"/>
  <c r="L22" i="2"/>
  <c r="M22" i="2" s="1"/>
  <c r="N22" i="2" s="1"/>
  <c r="O22" i="2" s="1"/>
  <c r="P22" i="2" s="1"/>
  <c r="Q22" i="2" s="1"/>
  <c r="R22" i="2" s="1"/>
  <c r="T29" i="3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GO30" i="21" l="1"/>
  <c r="GO8" i="21"/>
  <c r="GO16" i="21"/>
  <c r="GO6" i="21"/>
  <c r="GO14" i="21"/>
  <c r="GO20" i="21"/>
  <c r="GO4" i="21"/>
  <c r="GO10" i="21"/>
  <c r="GO18" i="21"/>
  <c r="GO34" i="21"/>
  <c r="GO22" i="21"/>
  <c r="GO32" i="21"/>
  <c r="GO36" i="21"/>
  <c r="GO12" i="21"/>
  <c r="GO28" i="21"/>
  <c r="GO24" i="21"/>
  <c r="GO26" i="21"/>
  <c r="AB1" i="4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C10" i="2" l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B10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B4" i="2"/>
  <c r="B11" i="2" l="1"/>
  <c r="D2" i="3" s="1"/>
  <c r="B5" i="2"/>
  <c r="G15" i="2" s="1"/>
  <c r="H2" i="3" l="1"/>
  <c r="F7" i="3"/>
  <c r="E4" i="3"/>
  <c r="I8" i="3"/>
  <c r="D8" i="3"/>
  <c r="F6" i="3"/>
  <c r="G3" i="3"/>
  <c r="G4" i="3"/>
  <c r="G9" i="3"/>
  <c r="H7" i="3"/>
  <c r="E5" i="3"/>
  <c r="H4" i="3"/>
  <c r="C3" i="3"/>
  <c r="E6" i="3"/>
  <c r="D3" i="3"/>
  <c r="C5" i="3"/>
  <c r="I7" i="3"/>
  <c r="F5" i="3"/>
  <c r="C7" i="3"/>
  <c r="I6" i="3"/>
  <c r="H3" i="3"/>
  <c r="C9" i="3"/>
  <c r="E9" i="3"/>
  <c r="F3" i="3"/>
  <c r="D6" i="3"/>
  <c r="H8" i="3"/>
  <c r="E2" i="3"/>
  <c r="I4" i="3"/>
  <c r="G7" i="3"/>
  <c r="C4" i="3"/>
  <c r="D5" i="3"/>
  <c r="F8" i="3"/>
  <c r="G2" i="3"/>
  <c r="G6" i="3"/>
  <c r="I9" i="3"/>
  <c r="D4" i="3"/>
  <c r="H6" i="3"/>
  <c r="F9" i="3"/>
  <c r="I2" i="3"/>
  <c r="G5" i="3"/>
  <c r="E8" i="3"/>
  <c r="F2" i="3"/>
  <c r="H5" i="3"/>
  <c r="D9" i="3"/>
  <c r="I3" i="3"/>
  <c r="E7" i="3"/>
  <c r="C6" i="3"/>
  <c r="C8" i="3"/>
  <c r="F4" i="3"/>
  <c r="D7" i="3"/>
  <c r="H9" i="3"/>
  <c r="E3" i="3"/>
  <c r="I5" i="3"/>
  <c r="G8" i="3"/>
  <c r="C2" i="3"/>
  <c r="E17" i="2"/>
  <c r="B7" i="2"/>
  <c r="F17" i="2"/>
  <c r="F15" i="2"/>
  <c r="F21" i="2"/>
  <c r="E21" i="2"/>
  <c r="F19" i="2"/>
  <c r="E19" i="2"/>
  <c r="E15" i="2"/>
  <c r="D21" i="2"/>
  <c r="D19" i="2"/>
  <c r="D17" i="2"/>
  <c r="D15" i="2"/>
  <c r="C21" i="2"/>
  <c r="C19" i="2"/>
  <c r="C17" i="2"/>
  <c r="C15" i="2"/>
  <c r="C14" i="2"/>
  <c r="J20" i="2"/>
  <c r="J18" i="2"/>
  <c r="J16" i="2"/>
  <c r="J14" i="2"/>
  <c r="I20" i="2"/>
  <c r="I18" i="2"/>
  <c r="I16" i="2"/>
  <c r="I14" i="2"/>
  <c r="H20" i="2"/>
  <c r="H18" i="2"/>
  <c r="H16" i="2"/>
  <c r="H14" i="2"/>
  <c r="G20" i="2"/>
  <c r="G18" i="2"/>
  <c r="G16" i="2"/>
  <c r="G14" i="2"/>
  <c r="F20" i="2"/>
  <c r="F18" i="2"/>
  <c r="F16" i="2"/>
  <c r="F14" i="2"/>
  <c r="E20" i="2"/>
  <c r="E18" i="2"/>
  <c r="E16" i="2"/>
  <c r="E14" i="2"/>
  <c r="D20" i="2"/>
  <c r="D18" i="2"/>
  <c r="D16" i="2"/>
  <c r="D14" i="2"/>
  <c r="C20" i="2"/>
  <c r="C18" i="2"/>
  <c r="C16" i="2"/>
  <c r="B6" i="2"/>
  <c r="J21" i="2"/>
  <c r="J19" i="2"/>
  <c r="J17" i="2"/>
  <c r="J15" i="2"/>
  <c r="I21" i="2"/>
  <c r="I19" i="2"/>
  <c r="I17" i="2"/>
  <c r="I15" i="2"/>
  <c r="H21" i="2"/>
  <c r="H19" i="2"/>
  <c r="H17" i="2"/>
  <c r="H15" i="2"/>
  <c r="G21" i="2"/>
  <c r="G19" i="2"/>
  <c r="G17" i="2"/>
  <c r="K16" i="2" l="1"/>
  <c r="K20" i="2"/>
  <c r="K18" i="2"/>
  <c r="K19" i="2"/>
  <c r="J4" i="3"/>
  <c r="J5" i="3"/>
  <c r="J6" i="3"/>
  <c r="J3" i="3"/>
  <c r="J2" i="3"/>
  <c r="J9" i="3"/>
  <c r="J8" i="3"/>
  <c r="J7" i="3"/>
  <c r="K15" i="2"/>
  <c r="K17" i="2"/>
  <c r="K21" i="2"/>
  <c r="K14" i="2"/>
  <c r="B24" i="2" l="1"/>
  <c r="L27" i="2" s="1"/>
  <c r="C13" i="3"/>
  <c r="C14" i="3" s="1"/>
  <c r="C15" i="3" s="1"/>
  <c r="C16" i="3" s="1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C10" i="3"/>
  <c r="C11" i="3" s="1"/>
  <c r="B23" i="2"/>
  <c r="O24" i="2" l="1"/>
  <c r="W24" i="2" s="1"/>
  <c r="Q24" i="2"/>
  <c r="Y24" i="2" s="1"/>
  <c r="K24" i="2"/>
  <c r="S24" i="2" s="1"/>
  <c r="M24" i="2"/>
  <c r="U24" i="2" s="1"/>
  <c r="L24" i="2"/>
  <c r="T24" i="2" s="1"/>
  <c r="R24" i="2"/>
  <c r="Z24" i="2" s="1"/>
  <c r="C6" i="5"/>
  <c r="F12" i="5" s="1"/>
  <c r="P24" i="2"/>
  <c r="X24" i="2" s="1"/>
  <c r="N24" i="2"/>
  <c r="V24" i="2" s="1"/>
  <c r="C27" i="2"/>
  <c r="X27" i="2" s="1"/>
  <c r="B45" i="5"/>
  <c r="N23" i="2"/>
  <c r="V23" i="2" s="1"/>
  <c r="R23" i="2"/>
  <c r="Z23" i="2" s="1"/>
  <c r="O23" i="2"/>
  <c r="W23" i="2" s="1"/>
  <c r="K23" i="2"/>
  <c r="S23" i="2" s="1"/>
  <c r="L23" i="2"/>
  <c r="T23" i="2" s="1"/>
  <c r="P23" i="2"/>
  <c r="X23" i="2" s="1"/>
  <c r="M23" i="2"/>
  <c r="U23" i="2" s="1"/>
  <c r="Q23" i="2"/>
  <c r="Y23" i="2" s="1"/>
  <c r="O46" i="2"/>
  <c r="O64" i="2" s="1"/>
  <c r="S46" i="2"/>
  <c r="S64" i="2" s="1"/>
  <c r="C28" i="2"/>
  <c r="P46" i="2"/>
  <c r="P64" i="2" s="1"/>
  <c r="L46" i="2"/>
  <c r="L64" i="2" s="1"/>
  <c r="M46" i="2"/>
  <c r="M64" i="2" s="1"/>
  <c r="Q46" i="2"/>
  <c r="Q64" i="2" s="1"/>
  <c r="N46" i="2"/>
  <c r="N64" i="2" s="1"/>
  <c r="R46" i="2"/>
  <c r="R64" i="2" s="1"/>
  <c r="C32" i="3"/>
  <c r="D16" i="4" s="1"/>
  <c r="C30" i="3"/>
  <c r="C31" i="3"/>
  <c r="H3" i="4" s="1"/>
  <c r="C17" i="3"/>
  <c r="C33" i="3"/>
  <c r="E14" i="4" l="1"/>
  <c r="D18" i="4"/>
  <c r="C14" i="4"/>
  <c r="G6" i="4"/>
  <c r="D11" i="4"/>
  <c r="H12" i="4"/>
  <c r="E16" i="4"/>
  <c r="H13" i="4"/>
  <c r="D14" i="4"/>
  <c r="G14" i="4"/>
  <c r="C13" i="4"/>
  <c r="C11" i="4"/>
  <c r="D13" i="4"/>
  <c r="H16" i="4"/>
  <c r="D9" i="5"/>
  <c r="H9" i="5"/>
  <c r="F10" i="5"/>
  <c r="G11" i="5"/>
  <c r="D13" i="5"/>
  <c r="E12" i="5"/>
  <c r="G9" i="5"/>
  <c r="E14" i="5"/>
  <c r="C10" i="5"/>
  <c r="C8" i="5"/>
  <c r="G10" i="5"/>
  <c r="F14" i="5"/>
  <c r="E8" i="5"/>
  <c r="G15" i="5"/>
  <c r="C15" i="5"/>
  <c r="H14" i="5"/>
  <c r="H11" i="5"/>
  <c r="C11" i="5"/>
  <c r="B45" i="6"/>
  <c r="F13" i="5"/>
  <c r="D12" i="5"/>
  <c r="C12" i="5"/>
  <c r="F9" i="5"/>
  <c r="D8" i="5"/>
  <c r="G13" i="5"/>
  <c r="H10" i="5"/>
  <c r="G8" i="5"/>
  <c r="F15" i="5"/>
  <c r="E9" i="5"/>
  <c r="G12" i="5"/>
  <c r="F8" i="5"/>
  <c r="H8" i="5"/>
  <c r="E10" i="5"/>
  <c r="E15" i="5"/>
  <c r="C14" i="5"/>
  <c r="H13" i="5"/>
  <c r="D10" i="5"/>
  <c r="H15" i="5"/>
  <c r="H12" i="5"/>
  <c r="C13" i="5"/>
  <c r="D15" i="5"/>
  <c r="E11" i="5"/>
  <c r="D14" i="5"/>
  <c r="G14" i="5"/>
  <c r="C9" i="5"/>
  <c r="E13" i="5"/>
  <c r="D11" i="5"/>
  <c r="F11" i="5"/>
  <c r="Q46" i="5"/>
  <c r="E46" i="5"/>
  <c r="AG46" i="5"/>
  <c r="G46" i="5"/>
  <c r="L46" i="5"/>
  <c r="F46" i="5"/>
  <c r="V46" i="5"/>
  <c r="K46" i="5"/>
  <c r="H46" i="5"/>
  <c r="AC46" i="5"/>
  <c r="U46" i="5"/>
  <c r="S46" i="5"/>
  <c r="T46" i="5"/>
  <c r="J46" i="5"/>
  <c r="Z46" i="5"/>
  <c r="O46" i="5"/>
  <c r="P46" i="5"/>
  <c r="M46" i="5"/>
  <c r="AA46" i="5"/>
  <c r="AB46" i="5"/>
  <c r="N46" i="5"/>
  <c r="AD46" i="5"/>
  <c r="W46" i="5"/>
  <c r="X46" i="5"/>
  <c r="Y46" i="5"/>
  <c r="D46" i="5"/>
  <c r="B46" i="5"/>
  <c r="R46" i="5"/>
  <c r="C46" i="5"/>
  <c r="AE46" i="5"/>
  <c r="AF46" i="5"/>
  <c r="I46" i="5"/>
  <c r="D47" i="2"/>
  <c r="D65" i="2" s="1"/>
  <c r="E47" i="2"/>
  <c r="E65" i="2" s="1"/>
  <c r="I47" i="2"/>
  <c r="I65" i="2" s="1"/>
  <c r="F47" i="2"/>
  <c r="F65" i="2" s="1"/>
  <c r="J47" i="2"/>
  <c r="J65" i="2" s="1"/>
  <c r="C47" i="2"/>
  <c r="C65" i="2" s="1"/>
  <c r="G47" i="2"/>
  <c r="G65" i="2" s="1"/>
  <c r="H47" i="2"/>
  <c r="H65" i="2" s="1"/>
  <c r="F46" i="2"/>
  <c r="F64" i="2" s="1"/>
  <c r="J46" i="2"/>
  <c r="J64" i="2" s="1"/>
  <c r="G46" i="2"/>
  <c r="G64" i="2" s="1"/>
  <c r="C46" i="2"/>
  <c r="C64" i="2" s="1"/>
  <c r="D46" i="2"/>
  <c r="D64" i="2" s="1"/>
  <c r="H46" i="2"/>
  <c r="H64" i="2" s="1"/>
  <c r="E46" i="2"/>
  <c r="E64" i="2" s="1"/>
  <c r="I46" i="2"/>
  <c r="I64" i="2" s="1"/>
  <c r="C3" i="4"/>
  <c r="C4" i="4"/>
  <c r="D3" i="4"/>
  <c r="C8" i="4"/>
  <c r="E18" i="4"/>
  <c r="H17" i="4"/>
  <c r="G18" i="4"/>
  <c r="H14" i="4"/>
  <c r="D4" i="4"/>
  <c r="E9" i="4"/>
  <c r="H6" i="4"/>
  <c r="G8" i="4"/>
  <c r="E2" i="4"/>
  <c r="E3" i="4"/>
  <c r="D8" i="4"/>
  <c r="F3" i="4"/>
  <c r="G5" i="4"/>
  <c r="AF30" i="3"/>
  <c r="AT30" i="3" s="1"/>
  <c r="V30" i="3"/>
  <c r="AJ30" i="3" s="1"/>
  <c r="Z30" i="3"/>
  <c r="AN30" i="3" s="1"/>
  <c r="AD30" i="3"/>
  <c r="AR30" i="3" s="1"/>
  <c r="AE30" i="3"/>
  <c r="AS30" i="3" s="1"/>
  <c r="X30" i="3"/>
  <c r="AL30" i="3" s="1"/>
  <c r="AC30" i="3"/>
  <c r="AQ30" i="3" s="1"/>
  <c r="AA30" i="3"/>
  <c r="AO30" i="3" s="1"/>
  <c r="T30" i="3"/>
  <c r="AH30" i="3" s="1"/>
  <c r="Y30" i="3"/>
  <c r="AM30" i="3" s="1"/>
  <c r="S30" i="3"/>
  <c r="AG30" i="3" s="1"/>
  <c r="U30" i="3"/>
  <c r="AI30" i="3" s="1"/>
  <c r="AB30" i="3"/>
  <c r="AP30" i="3" s="1"/>
  <c r="W30" i="3"/>
  <c r="AK30" i="3" s="1"/>
  <c r="C9" i="4"/>
  <c r="C7" i="4"/>
  <c r="F4" i="4"/>
  <c r="D2" i="4"/>
  <c r="G9" i="4"/>
  <c r="F5" i="4"/>
  <c r="F6" i="4"/>
  <c r="C6" i="4"/>
  <c r="C2" i="4"/>
  <c r="E11" i="4"/>
  <c r="S32" i="3"/>
  <c r="AG32" i="3" s="1"/>
  <c r="W32" i="3"/>
  <c r="AK32" i="3" s="1"/>
  <c r="AA32" i="3"/>
  <c r="AO32" i="3" s="1"/>
  <c r="AE32" i="3"/>
  <c r="AS32" i="3" s="1"/>
  <c r="U32" i="3"/>
  <c r="AI32" i="3" s="1"/>
  <c r="Z32" i="3"/>
  <c r="AN32" i="3" s="1"/>
  <c r="AF32" i="3"/>
  <c r="AT32" i="3" s="1"/>
  <c r="V32" i="3"/>
  <c r="AJ32" i="3" s="1"/>
  <c r="AC32" i="3"/>
  <c r="AQ32" i="3" s="1"/>
  <c r="Y32" i="3"/>
  <c r="AM32" i="3" s="1"/>
  <c r="X32" i="3"/>
  <c r="AL32" i="3" s="1"/>
  <c r="AD32" i="3"/>
  <c r="AR32" i="3" s="1"/>
  <c r="T32" i="3"/>
  <c r="AH32" i="3" s="1"/>
  <c r="AB32" i="3"/>
  <c r="AP32" i="3" s="1"/>
  <c r="U33" i="3"/>
  <c r="AI33" i="3" s="1"/>
  <c r="Y33" i="3"/>
  <c r="AM33" i="3" s="1"/>
  <c r="AC33" i="3"/>
  <c r="AQ33" i="3" s="1"/>
  <c r="T33" i="3"/>
  <c r="AH33" i="3" s="1"/>
  <c r="Z33" i="3"/>
  <c r="AN33" i="3" s="1"/>
  <c r="AE33" i="3"/>
  <c r="AS33" i="3" s="1"/>
  <c r="V33" i="3"/>
  <c r="AJ33" i="3" s="1"/>
  <c r="AB33" i="3"/>
  <c r="AP33" i="3" s="1"/>
  <c r="W33" i="3"/>
  <c r="AK33" i="3" s="1"/>
  <c r="AD33" i="3"/>
  <c r="AR33" i="3" s="1"/>
  <c r="X33" i="3"/>
  <c r="AL33" i="3" s="1"/>
  <c r="AF33" i="3"/>
  <c r="AT33" i="3" s="1"/>
  <c r="S33" i="3"/>
  <c r="AG33" i="3" s="1"/>
  <c r="AA33" i="3"/>
  <c r="AO33" i="3" s="1"/>
  <c r="F16" i="4"/>
  <c r="E12" i="4"/>
  <c r="C16" i="4"/>
  <c r="C12" i="4"/>
  <c r="C17" i="4"/>
  <c r="G13" i="4"/>
  <c r="H5" i="4"/>
  <c r="D7" i="4"/>
  <c r="G7" i="4"/>
  <c r="D9" i="4"/>
  <c r="E6" i="4"/>
  <c r="G4" i="4"/>
  <c r="D6" i="4"/>
  <c r="C5" i="4"/>
  <c r="F8" i="4"/>
  <c r="H7" i="4"/>
  <c r="H9" i="4"/>
  <c r="H4" i="4"/>
  <c r="U31" i="3"/>
  <c r="AI31" i="3" s="1"/>
  <c r="Y31" i="3"/>
  <c r="AM31" i="3" s="1"/>
  <c r="AC31" i="3"/>
  <c r="AQ31" i="3" s="1"/>
  <c r="V31" i="3"/>
  <c r="AJ31" i="3" s="1"/>
  <c r="AA31" i="3"/>
  <c r="AO31" i="3" s="1"/>
  <c r="AF31" i="3"/>
  <c r="AT31" i="3" s="1"/>
  <c r="W31" i="3"/>
  <c r="AK31" i="3" s="1"/>
  <c r="AD31" i="3"/>
  <c r="AR31" i="3" s="1"/>
  <c r="S31" i="3"/>
  <c r="AG31" i="3" s="1"/>
  <c r="X31" i="3"/>
  <c r="AL31" i="3" s="1"/>
  <c r="AE31" i="3"/>
  <c r="AS31" i="3" s="1"/>
  <c r="Z31" i="3"/>
  <c r="AN31" i="3" s="1"/>
  <c r="T31" i="3"/>
  <c r="AH31" i="3" s="1"/>
  <c r="AB31" i="3"/>
  <c r="AP31" i="3" s="1"/>
  <c r="E5" i="4"/>
  <c r="H8" i="4"/>
  <c r="E4" i="4"/>
  <c r="E8" i="4"/>
  <c r="D5" i="4"/>
  <c r="H2" i="4"/>
  <c r="F2" i="4"/>
  <c r="E7" i="4"/>
  <c r="F7" i="4"/>
  <c r="G3" i="4"/>
  <c r="F9" i="4"/>
  <c r="G2" i="4"/>
  <c r="G16" i="4"/>
  <c r="C15" i="4"/>
  <c r="D15" i="4"/>
  <c r="H18" i="4"/>
  <c r="E13" i="4"/>
  <c r="E17" i="4"/>
  <c r="F11" i="4"/>
  <c r="D17" i="4"/>
  <c r="G12" i="4"/>
  <c r="F18" i="4"/>
  <c r="E15" i="4"/>
  <c r="D12" i="4"/>
  <c r="F12" i="4"/>
  <c r="F15" i="4"/>
  <c r="F13" i="4"/>
  <c r="F17" i="4"/>
  <c r="H11" i="4"/>
  <c r="G15" i="4"/>
  <c r="C18" i="4"/>
  <c r="H15" i="4"/>
  <c r="G11" i="4"/>
  <c r="G17" i="4"/>
  <c r="F14" i="4"/>
  <c r="G20" i="4"/>
  <c r="F21" i="4"/>
  <c r="E22" i="4"/>
  <c r="D23" i="4"/>
  <c r="H23" i="4"/>
  <c r="G24" i="4"/>
  <c r="F25" i="4"/>
  <c r="E26" i="4"/>
  <c r="D27" i="4"/>
  <c r="H27" i="4"/>
  <c r="C24" i="4"/>
  <c r="E20" i="4"/>
  <c r="E21" i="4"/>
  <c r="F22" i="4"/>
  <c r="F23" i="4"/>
  <c r="F24" i="4"/>
  <c r="G25" i="4"/>
  <c r="G26" i="4"/>
  <c r="G27" i="4"/>
  <c r="C25" i="4"/>
  <c r="C20" i="4"/>
  <c r="D20" i="4"/>
  <c r="G21" i="4"/>
  <c r="H22" i="4"/>
  <c r="E24" i="4"/>
  <c r="H25" i="4"/>
  <c r="E27" i="4"/>
  <c r="C23" i="4"/>
  <c r="F20" i="4"/>
  <c r="H21" i="4"/>
  <c r="E23" i="4"/>
  <c r="H24" i="4"/>
  <c r="D26" i="4"/>
  <c r="F27" i="4"/>
  <c r="C26" i="4"/>
  <c r="H20" i="4"/>
  <c r="D22" i="4"/>
  <c r="G23" i="4"/>
  <c r="D25" i="4"/>
  <c r="F26" i="4"/>
  <c r="C21" i="4"/>
  <c r="C27" i="4"/>
  <c r="E25" i="4"/>
  <c r="D21" i="4"/>
  <c r="H26" i="4"/>
  <c r="G22" i="4"/>
  <c r="C22" i="4"/>
  <c r="D24" i="4"/>
  <c r="C18" i="3"/>
  <c r="C34" i="3"/>
  <c r="I7" i="4" l="1"/>
  <c r="I14" i="4"/>
  <c r="I9" i="4"/>
  <c r="I14" i="5"/>
  <c r="I10" i="5"/>
  <c r="I9" i="5"/>
  <c r="I12" i="5"/>
  <c r="I8" i="5"/>
  <c r="I13" i="5"/>
  <c r="I11" i="5"/>
  <c r="I15" i="5"/>
  <c r="I4" i="4"/>
  <c r="I3" i="4"/>
  <c r="I13" i="4"/>
  <c r="I6" i="4"/>
  <c r="I16" i="4"/>
  <c r="I2" i="4"/>
  <c r="I8" i="4"/>
  <c r="I5" i="4"/>
  <c r="S34" i="3"/>
  <c r="AG34" i="3" s="1"/>
  <c r="W34" i="3"/>
  <c r="AK34" i="3" s="1"/>
  <c r="AA34" i="3"/>
  <c r="AO34" i="3" s="1"/>
  <c r="AE34" i="3"/>
  <c r="AS34" i="3" s="1"/>
  <c r="T34" i="3"/>
  <c r="AH34" i="3" s="1"/>
  <c r="Y34" i="3"/>
  <c r="AM34" i="3" s="1"/>
  <c r="AD34" i="3"/>
  <c r="AR34" i="3" s="1"/>
  <c r="U34" i="3"/>
  <c r="AI34" i="3" s="1"/>
  <c r="AB34" i="3"/>
  <c r="AP34" i="3" s="1"/>
  <c r="V34" i="3"/>
  <c r="AJ34" i="3" s="1"/>
  <c r="AC34" i="3"/>
  <c r="AQ34" i="3" s="1"/>
  <c r="X34" i="3"/>
  <c r="AL34" i="3" s="1"/>
  <c r="AF34" i="3"/>
  <c r="AT34" i="3" s="1"/>
  <c r="Z34" i="3"/>
  <c r="AN34" i="3" s="1"/>
  <c r="I11" i="4"/>
  <c r="I15" i="4"/>
  <c r="I18" i="4"/>
  <c r="I12" i="4"/>
  <c r="I17" i="4"/>
  <c r="I24" i="4"/>
  <c r="C19" i="3"/>
  <c r="C35" i="3"/>
  <c r="I21" i="4"/>
  <c r="I22" i="4"/>
  <c r="I20" i="4"/>
  <c r="I23" i="4"/>
  <c r="I25" i="4"/>
  <c r="I26" i="4"/>
  <c r="D29" i="4"/>
  <c r="G29" i="4"/>
  <c r="H30" i="4"/>
  <c r="H31" i="4"/>
  <c r="H32" i="4"/>
  <c r="D34" i="4"/>
  <c r="D35" i="4"/>
  <c r="D36" i="4"/>
  <c r="C31" i="4"/>
  <c r="C36" i="4"/>
  <c r="C29" i="4"/>
  <c r="E30" i="4"/>
  <c r="G31" i="4"/>
  <c r="E33" i="4"/>
  <c r="F34" i="4"/>
  <c r="H35" i="4"/>
  <c r="C32" i="4"/>
  <c r="G35" i="4"/>
  <c r="E29" i="4"/>
  <c r="D31" i="4"/>
  <c r="G32" i="4"/>
  <c r="H34" i="4"/>
  <c r="G36" i="4"/>
  <c r="F29" i="4"/>
  <c r="E31" i="4"/>
  <c r="F33" i="4"/>
  <c r="E35" i="4"/>
  <c r="H36" i="4"/>
  <c r="D30" i="4"/>
  <c r="D32" i="4"/>
  <c r="G33" i="4"/>
  <c r="C33" i="4"/>
  <c r="F30" i="4"/>
  <c r="C35" i="4"/>
  <c r="F32" i="4"/>
  <c r="E34" i="4"/>
  <c r="F36" i="4"/>
  <c r="F35" i="4"/>
  <c r="E32" i="4"/>
  <c r="C34" i="4"/>
  <c r="G34" i="4"/>
  <c r="F31" i="4"/>
  <c r="C30" i="4"/>
  <c r="H33" i="4"/>
  <c r="G30" i="4"/>
  <c r="E36" i="4"/>
  <c r="D33" i="4"/>
  <c r="H29" i="4"/>
  <c r="I27" i="4"/>
  <c r="B16" i="5" l="1"/>
  <c r="F20" i="5" s="1"/>
  <c r="B10" i="4"/>
  <c r="O2" i="4" s="1"/>
  <c r="C5" i="5" s="1"/>
  <c r="U35" i="3"/>
  <c r="AI35" i="3" s="1"/>
  <c r="Y35" i="3"/>
  <c r="AM35" i="3" s="1"/>
  <c r="AC35" i="3"/>
  <c r="AQ35" i="3" s="1"/>
  <c r="S35" i="3"/>
  <c r="AG35" i="3" s="1"/>
  <c r="X35" i="3"/>
  <c r="AL35" i="3" s="1"/>
  <c r="AD35" i="3"/>
  <c r="AR35" i="3" s="1"/>
  <c r="T35" i="3"/>
  <c r="AH35" i="3" s="1"/>
  <c r="AA35" i="3"/>
  <c r="AO35" i="3" s="1"/>
  <c r="V35" i="3"/>
  <c r="AJ35" i="3" s="1"/>
  <c r="AB35" i="3"/>
  <c r="AP35" i="3" s="1"/>
  <c r="W35" i="3"/>
  <c r="AK35" i="3" s="1"/>
  <c r="AE35" i="3"/>
  <c r="AS35" i="3" s="1"/>
  <c r="AF35" i="3"/>
  <c r="AT35" i="3" s="1"/>
  <c r="Z35" i="3"/>
  <c r="AN35" i="3" s="1"/>
  <c r="B19" i="4"/>
  <c r="O3" i="4" s="1"/>
  <c r="I31" i="4"/>
  <c r="I35" i="4"/>
  <c r="I34" i="4"/>
  <c r="I33" i="4"/>
  <c r="I30" i="4"/>
  <c r="I32" i="4"/>
  <c r="I29" i="4"/>
  <c r="I36" i="4"/>
  <c r="E38" i="4"/>
  <c r="D39" i="4"/>
  <c r="H39" i="4"/>
  <c r="G40" i="4"/>
  <c r="F41" i="4"/>
  <c r="E42" i="4"/>
  <c r="D43" i="4"/>
  <c r="H43" i="4"/>
  <c r="G44" i="4"/>
  <c r="F45" i="4"/>
  <c r="C40" i="4"/>
  <c r="C44" i="4"/>
  <c r="G38" i="4"/>
  <c r="G39" i="4"/>
  <c r="H40" i="4"/>
  <c r="H41" i="4"/>
  <c r="H42" i="4"/>
  <c r="D44" i="4"/>
  <c r="D45" i="4"/>
  <c r="C39" i="4"/>
  <c r="C45" i="4"/>
  <c r="H38" i="4"/>
  <c r="E40" i="4"/>
  <c r="G41" i="4"/>
  <c r="E43" i="4"/>
  <c r="F44" i="4"/>
  <c r="H45" i="4"/>
  <c r="E39" i="4"/>
  <c r="F40" i="4"/>
  <c r="D42" i="4"/>
  <c r="F43" i="4"/>
  <c r="H44" i="4"/>
  <c r="C41" i="4"/>
  <c r="C38" i="4"/>
  <c r="D38" i="4"/>
  <c r="F39" i="4"/>
  <c r="D41" i="4"/>
  <c r="F42" i="4"/>
  <c r="G43" i="4"/>
  <c r="E45" i="4"/>
  <c r="C42" i="4"/>
  <c r="G42" i="4"/>
  <c r="F38" i="4"/>
  <c r="E44" i="4"/>
  <c r="D40" i="4"/>
  <c r="G45" i="4"/>
  <c r="E41" i="4"/>
  <c r="C43" i="4"/>
  <c r="B28" i="4"/>
  <c r="O4" i="4" s="1"/>
  <c r="C20" i="3"/>
  <c r="C36" i="3"/>
  <c r="AB2" i="4" l="1"/>
  <c r="AN2" i="4" s="1"/>
  <c r="AK2" i="4"/>
  <c r="AW2" i="4" s="1"/>
  <c r="AG2" i="4"/>
  <c r="AS2" i="4" s="1"/>
  <c r="AH2" i="4"/>
  <c r="AT2" i="4" s="1"/>
  <c r="AA2" i="4"/>
  <c r="AM2" i="4" s="1"/>
  <c r="AF2" i="4"/>
  <c r="AR2" i="4" s="1"/>
  <c r="AD2" i="4"/>
  <c r="AP2" i="4" s="1"/>
  <c r="AE2" i="4"/>
  <c r="AQ2" i="4" s="1"/>
  <c r="AI2" i="4"/>
  <c r="AU2" i="4" s="1"/>
  <c r="AJ2" i="4"/>
  <c r="AV2" i="4" s="1"/>
  <c r="Y20" i="5"/>
  <c r="AH20" i="5"/>
  <c r="AR20" i="5"/>
  <c r="R20" i="5"/>
  <c r="AV20" i="5"/>
  <c r="N20" i="5"/>
  <c r="P20" i="5"/>
  <c r="AM20" i="5"/>
  <c r="K20" i="5"/>
  <c r="AJ20" i="5"/>
  <c r="AQ20" i="5"/>
  <c r="T20" i="5"/>
  <c r="S20" i="5"/>
  <c r="AD20" i="5"/>
  <c r="AK20" i="5"/>
  <c r="AN20" i="5"/>
  <c r="AT20" i="5"/>
  <c r="AB20" i="5"/>
  <c r="O20" i="5"/>
  <c r="E20" i="5"/>
  <c r="M20" i="5"/>
  <c r="AA20" i="5"/>
  <c r="AF20" i="5"/>
  <c r="AI20" i="5"/>
  <c r="AG20" i="5"/>
  <c r="Q20" i="5"/>
  <c r="I20" i="5"/>
  <c r="J20" i="5"/>
  <c r="H20" i="5"/>
  <c r="AO20" i="5"/>
  <c r="AP20" i="5"/>
  <c r="AC20" i="5"/>
  <c r="Z20" i="5"/>
  <c r="AU20" i="5"/>
  <c r="D20" i="5"/>
  <c r="X20" i="5"/>
  <c r="U20" i="5"/>
  <c r="AE20" i="5"/>
  <c r="W20" i="5"/>
  <c r="G20" i="5"/>
  <c r="L20" i="5"/>
  <c r="V20" i="5"/>
  <c r="C20" i="5"/>
  <c r="AW20" i="5"/>
  <c r="AL20" i="5"/>
  <c r="AS20" i="5"/>
  <c r="B20" i="5"/>
  <c r="AL2" i="4"/>
  <c r="AX2" i="4" s="1"/>
  <c r="AC2" i="4"/>
  <c r="AO2" i="4" s="1"/>
  <c r="C5" i="7"/>
  <c r="AD4" i="4"/>
  <c r="AP4" i="4" s="1"/>
  <c r="AH4" i="4"/>
  <c r="AT4" i="4" s="1"/>
  <c r="AL4" i="4"/>
  <c r="AX4" i="4" s="1"/>
  <c r="AA4" i="4"/>
  <c r="AM4" i="4" s="1"/>
  <c r="AJ4" i="4"/>
  <c r="AV4" i="4" s="1"/>
  <c r="AC4" i="4"/>
  <c r="AO4" i="4" s="1"/>
  <c r="AG4" i="4"/>
  <c r="AS4" i="4" s="1"/>
  <c r="AK4" i="4"/>
  <c r="AW4" i="4" s="1"/>
  <c r="AE4" i="4"/>
  <c r="AQ4" i="4" s="1"/>
  <c r="AI4" i="4"/>
  <c r="AU4" i="4" s="1"/>
  <c r="AB4" i="4"/>
  <c r="AN4" i="4" s="1"/>
  <c r="AF4" i="4"/>
  <c r="AR4" i="4" s="1"/>
  <c r="C5" i="6"/>
  <c r="AD3" i="4"/>
  <c r="AP3" i="4" s="1"/>
  <c r="AH3" i="4"/>
  <c r="AT3" i="4" s="1"/>
  <c r="AL3" i="4"/>
  <c r="AX3" i="4" s="1"/>
  <c r="AC3" i="4"/>
  <c r="AO3" i="4" s="1"/>
  <c r="AG3" i="4"/>
  <c r="AS3" i="4" s="1"/>
  <c r="AK3" i="4"/>
  <c r="AW3" i="4" s="1"/>
  <c r="AA3" i="4"/>
  <c r="AM3" i="4" s="1"/>
  <c r="AE3" i="4"/>
  <c r="AQ3" i="4" s="1"/>
  <c r="AI3" i="4"/>
  <c r="AU3" i="4" s="1"/>
  <c r="AB3" i="4"/>
  <c r="AN3" i="4" s="1"/>
  <c r="AF3" i="4"/>
  <c r="AR3" i="4" s="1"/>
  <c r="AJ3" i="4"/>
  <c r="AV3" i="4" s="1"/>
  <c r="S36" i="3"/>
  <c r="AG36" i="3" s="1"/>
  <c r="W36" i="3"/>
  <c r="AK36" i="3" s="1"/>
  <c r="AA36" i="3"/>
  <c r="AO36" i="3" s="1"/>
  <c r="AE36" i="3"/>
  <c r="AS36" i="3" s="1"/>
  <c r="X36" i="3"/>
  <c r="AL36" i="3" s="1"/>
  <c r="AC36" i="3"/>
  <c r="AQ36" i="3" s="1"/>
  <c r="T36" i="3"/>
  <c r="AH36" i="3" s="1"/>
  <c r="Z36" i="3"/>
  <c r="AN36" i="3" s="1"/>
  <c r="AD36" i="3"/>
  <c r="AR36" i="3" s="1"/>
  <c r="U36" i="3"/>
  <c r="AI36" i="3" s="1"/>
  <c r="AB36" i="3"/>
  <c r="AP36" i="3" s="1"/>
  <c r="V36" i="3"/>
  <c r="AJ36" i="3" s="1"/>
  <c r="Y36" i="3"/>
  <c r="AM36" i="3" s="1"/>
  <c r="AF36" i="3"/>
  <c r="AT36" i="3" s="1"/>
  <c r="B19" i="5"/>
  <c r="D19" i="5"/>
  <c r="I19" i="5"/>
  <c r="O19" i="5"/>
  <c r="T19" i="5"/>
  <c r="Y19" i="5"/>
  <c r="AE19" i="5"/>
  <c r="AJ19" i="5"/>
  <c r="AO19" i="5"/>
  <c r="AU19" i="5"/>
  <c r="C19" i="5"/>
  <c r="H19" i="5"/>
  <c r="M19" i="5"/>
  <c r="S19" i="5"/>
  <c r="X19" i="5"/>
  <c r="AC19" i="5"/>
  <c r="AI19" i="5"/>
  <c r="AN19" i="5"/>
  <c r="AS19" i="5"/>
  <c r="G19" i="5"/>
  <c r="Q19" i="5"/>
  <c r="AB19" i="5"/>
  <c r="AM19" i="5"/>
  <c r="AM21" i="5" s="1"/>
  <c r="C29" i="5" s="1"/>
  <c r="AW19" i="5"/>
  <c r="K19" i="5"/>
  <c r="U19" i="5"/>
  <c r="AF19" i="5"/>
  <c r="AQ19" i="5"/>
  <c r="L19" i="5"/>
  <c r="W19" i="5"/>
  <c r="W21" i="5" s="1"/>
  <c r="E26" i="5" s="1"/>
  <c r="AG19" i="5"/>
  <c r="AR19" i="5"/>
  <c r="E19" i="5"/>
  <c r="P19" i="5"/>
  <c r="P21" i="5" s="1"/>
  <c r="D25" i="5" s="1"/>
  <c r="AA19" i="5"/>
  <c r="AK19" i="5"/>
  <c r="AV19" i="5"/>
  <c r="AL19" i="5"/>
  <c r="V19" i="5"/>
  <c r="F19" i="5"/>
  <c r="F21" i="5" s="1"/>
  <c r="F23" i="5" s="1"/>
  <c r="AH19" i="5"/>
  <c r="R19" i="5"/>
  <c r="Z19" i="5"/>
  <c r="AT19" i="5"/>
  <c r="N19" i="5"/>
  <c r="N21" i="5" s="1"/>
  <c r="B25" i="5" s="1"/>
  <c r="J19" i="5"/>
  <c r="AP19" i="5"/>
  <c r="AD19" i="5"/>
  <c r="I43" i="4"/>
  <c r="C21" i="3"/>
  <c r="C37" i="3"/>
  <c r="I38" i="4"/>
  <c r="I40" i="4"/>
  <c r="I42" i="4"/>
  <c r="I41" i="4"/>
  <c r="I45" i="4"/>
  <c r="I39" i="4"/>
  <c r="I44" i="4"/>
  <c r="D47" i="4"/>
  <c r="H47" i="4"/>
  <c r="G48" i="4"/>
  <c r="F49" i="4"/>
  <c r="E50" i="4"/>
  <c r="D51" i="4"/>
  <c r="H51" i="4"/>
  <c r="G52" i="4"/>
  <c r="F53" i="4"/>
  <c r="E54" i="4"/>
  <c r="C48" i="4"/>
  <c r="C52" i="4"/>
  <c r="F47" i="4"/>
  <c r="F48" i="4"/>
  <c r="G49" i="4"/>
  <c r="G50" i="4"/>
  <c r="G51" i="4"/>
  <c r="H52" i="4"/>
  <c r="H53" i="4"/>
  <c r="H54" i="4"/>
  <c r="C53" i="4"/>
  <c r="E47" i="4"/>
  <c r="H48" i="4"/>
  <c r="D50" i="4"/>
  <c r="F51" i="4"/>
  <c r="D53" i="4"/>
  <c r="F54" i="4"/>
  <c r="C51" i="4"/>
  <c r="C47" i="4"/>
  <c r="G47" i="4"/>
  <c r="D49" i="4"/>
  <c r="F50" i="4"/>
  <c r="D52" i="4"/>
  <c r="E53" i="4"/>
  <c r="G54" i="4"/>
  <c r="C54" i="4"/>
  <c r="D48" i="4"/>
  <c r="E49" i="4"/>
  <c r="H50" i="4"/>
  <c r="E52" i="4"/>
  <c r="G53" i="4"/>
  <c r="C49" i="4"/>
  <c r="H49" i="4"/>
  <c r="C50" i="4"/>
  <c r="E51" i="4"/>
  <c r="F52" i="4"/>
  <c r="E48" i="4"/>
  <c r="D54" i="4"/>
  <c r="B37" i="4"/>
  <c r="O5" i="4" s="1"/>
  <c r="AT21" i="5" l="1"/>
  <c r="D30" i="5" s="1"/>
  <c r="D21" i="5"/>
  <c r="D23" i="5" s="1"/>
  <c r="H21" i="5"/>
  <c r="B24" i="5" s="1"/>
  <c r="AO21" i="5"/>
  <c r="E29" i="5" s="1"/>
  <c r="Q21" i="5"/>
  <c r="E25" i="5" s="1"/>
  <c r="AH21" i="5"/>
  <c r="D28" i="5" s="1"/>
  <c r="X21" i="5"/>
  <c r="F26" i="5" s="1"/>
  <c r="AV21" i="5"/>
  <c r="F30" i="5" s="1"/>
  <c r="L21" i="5"/>
  <c r="F24" i="5" s="1"/>
  <c r="K21" i="5"/>
  <c r="E24" i="5" s="1"/>
  <c r="M21" i="5"/>
  <c r="G24" i="5" s="1"/>
  <c r="H24" i="5" s="1"/>
  <c r="J24" i="5" s="1"/>
  <c r="Y21" i="5"/>
  <c r="G26" i="5" s="1"/>
  <c r="AL21" i="5"/>
  <c r="B29" i="5" s="1"/>
  <c r="U21" i="5"/>
  <c r="C26" i="5" s="1"/>
  <c r="S21" i="5"/>
  <c r="G25" i="5" s="1"/>
  <c r="H25" i="5" s="1"/>
  <c r="J25" i="5" s="1"/>
  <c r="AB21" i="5"/>
  <c r="D27" i="5" s="1"/>
  <c r="AU21" i="5"/>
  <c r="E30" i="5" s="1"/>
  <c r="AD21" i="5"/>
  <c r="F27" i="5" s="1"/>
  <c r="AJ21" i="5"/>
  <c r="F28" i="5" s="1"/>
  <c r="AP21" i="5"/>
  <c r="F29" i="5" s="1"/>
  <c r="Z21" i="5"/>
  <c r="B27" i="5" s="1"/>
  <c r="V21" i="5"/>
  <c r="D26" i="5" s="1"/>
  <c r="AA21" i="5"/>
  <c r="C27" i="5" s="1"/>
  <c r="AG21" i="5"/>
  <c r="C28" i="5" s="1"/>
  <c r="AF21" i="5"/>
  <c r="B28" i="5" s="1"/>
  <c r="AS21" i="5"/>
  <c r="C30" i="5" s="1"/>
  <c r="C21" i="5"/>
  <c r="C23" i="5" s="1"/>
  <c r="AE21" i="5"/>
  <c r="G27" i="5" s="1"/>
  <c r="I21" i="5"/>
  <c r="C24" i="5" s="1"/>
  <c r="T21" i="5"/>
  <c r="B26" i="5" s="1"/>
  <c r="R21" i="5"/>
  <c r="F25" i="5" s="1"/>
  <c r="AK21" i="5"/>
  <c r="G28" i="5" s="1"/>
  <c r="AR21" i="5"/>
  <c r="B30" i="5" s="1"/>
  <c r="AQ21" i="5"/>
  <c r="G29" i="5" s="1"/>
  <c r="J21" i="5"/>
  <c r="D24" i="5" s="1"/>
  <c r="E21" i="5"/>
  <c r="E23" i="5" s="1"/>
  <c r="AI21" i="5"/>
  <c r="E28" i="5" s="1"/>
  <c r="B21" i="5"/>
  <c r="B23" i="5" s="1"/>
  <c r="AN21" i="5"/>
  <c r="D29" i="5" s="1"/>
  <c r="AW21" i="5"/>
  <c r="G30" i="5" s="1"/>
  <c r="G21" i="5"/>
  <c r="G23" i="5" s="1"/>
  <c r="AC21" i="5"/>
  <c r="E27" i="5" s="1"/>
  <c r="O21" i="5"/>
  <c r="C25" i="5" s="1"/>
  <c r="C5" i="8"/>
  <c r="AD5" i="4"/>
  <c r="AP5" i="4" s="1"/>
  <c r="AH5" i="4"/>
  <c r="AT5" i="4" s="1"/>
  <c r="AL5" i="4"/>
  <c r="AX5" i="4" s="1"/>
  <c r="AE5" i="4"/>
  <c r="AQ5" i="4" s="1"/>
  <c r="AB5" i="4"/>
  <c r="AN5" i="4" s="1"/>
  <c r="AJ5" i="4"/>
  <c r="AV5" i="4" s="1"/>
  <c r="AC5" i="4"/>
  <c r="AO5" i="4" s="1"/>
  <c r="AG5" i="4"/>
  <c r="AS5" i="4" s="1"/>
  <c r="AK5" i="4"/>
  <c r="AW5" i="4" s="1"/>
  <c r="AA5" i="4"/>
  <c r="AM5" i="4" s="1"/>
  <c r="AI5" i="4"/>
  <c r="AU5" i="4" s="1"/>
  <c r="AF5" i="4"/>
  <c r="AR5" i="4" s="1"/>
  <c r="U37" i="3"/>
  <c r="AI37" i="3" s="1"/>
  <c r="Y37" i="3"/>
  <c r="AM37" i="3" s="1"/>
  <c r="AC37" i="3"/>
  <c r="AQ37" i="3" s="1"/>
  <c r="W37" i="3"/>
  <c r="AK37" i="3" s="1"/>
  <c r="AB37" i="3"/>
  <c r="AP37" i="3" s="1"/>
  <c r="S37" i="3"/>
  <c r="AG37" i="3" s="1"/>
  <c r="Z37" i="3"/>
  <c r="AN37" i="3" s="1"/>
  <c r="AF37" i="3"/>
  <c r="AT37" i="3" s="1"/>
  <c r="V37" i="3"/>
  <c r="AJ37" i="3" s="1"/>
  <c r="AD37" i="3"/>
  <c r="AR37" i="3" s="1"/>
  <c r="T37" i="3"/>
  <c r="AH37" i="3" s="1"/>
  <c r="AA37" i="3"/>
  <c r="AO37" i="3" s="1"/>
  <c r="X37" i="3"/>
  <c r="AL37" i="3" s="1"/>
  <c r="AE37" i="3"/>
  <c r="AS37" i="3" s="1"/>
  <c r="AH19" i="6"/>
  <c r="R19" i="6"/>
  <c r="B19" i="6"/>
  <c r="AE19" i="6"/>
  <c r="I19" i="6"/>
  <c r="AI19" i="6"/>
  <c r="M19" i="6"/>
  <c r="AR19" i="6"/>
  <c r="W19" i="6"/>
  <c r="P19" i="6"/>
  <c r="E19" i="6"/>
  <c r="AF19" i="6"/>
  <c r="AL19" i="6"/>
  <c r="V19" i="6"/>
  <c r="F19" i="6"/>
  <c r="AJ19" i="6"/>
  <c r="O19" i="6"/>
  <c r="AN19" i="6"/>
  <c r="S19" i="6"/>
  <c r="AW19" i="6"/>
  <c r="AB19" i="6"/>
  <c r="G19" i="6"/>
  <c r="AQ19" i="6"/>
  <c r="K19" i="6"/>
  <c r="Z19" i="6"/>
  <c r="AO19" i="6"/>
  <c r="AS19" i="6"/>
  <c r="C19" i="6"/>
  <c r="L19" i="6"/>
  <c r="AV19" i="6"/>
  <c r="AT19" i="6"/>
  <c r="N19" i="6"/>
  <c r="Y19" i="6"/>
  <c r="AC19" i="6"/>
  <c r="AM19" i="6"/>
  <c r="AK19" i="6"/>
  <c r="J19" i="6"/>
  <c r="X19" i="6"/>
  <c r="U19" i="6"/>
  <c r="AP19" i="6"/>
  <c r="AG19" i="6"/>
  <c r="AU19" i="6"/>
  <c r="H19" i="6"/>
  <c r="AA19" i="6"/>
  <c r="T19" i="6"/>
  <c r="D19" i="6"/>
  <c r="Q19" i="6"/>
  <c r="AD19" i="6"/>
  <c r="AO19" i="7"/>
  <c r="AW19" i="7"/>
  <c r="AK19" i="7"/>
  <c r="AG19" i="7"/>
  <c r="Y19" i="7"/>
  <c r="AJ19" i="7"/>
  <c r="T19" i="7"/>
  <c r="D19" i="7"/>
  <c r="AM19" i="7"/>
  <c r="W19" i="7"/>
  <c r="G19" i="7"/>
  <c r="AL19" i="7"/>
  <c r="R19" i="7"/>
  <c r="AS19" i="7"/>
  <c r="Q19" i="7"/>
  <c r="U19" i="7"/>
  <c r="M19" i="7"/>
  <c r="AN19" i="7"/>
  <c r="X19" i="7"/>
  <c r="H19" i="7"/>
  <c r="AQ19" i="7"/>
  <c r="AA19" i="7"/>
  <c r="K19" i="7"/>
  <c r="AP19" i="7"/>
  <c r="Z19" i="7"/>
  <c r="AC19" i="7"/>
  <c r="B19" i="7"/>
  <c r="AF19" i="7"/>
  <c r="V19" i="7"/>
  <c r="S19" i="7"/>
  <c r="AH19" i="7"/>
  <c r="J19" i="7"/>
  <c r="E19" i="7"/>
  <c r="AB19" i="7"/>
  <c r="AU19" i="7"/>
  <c r="O19" i="7"/>
  <c r="AD19" i="7"/>
  <c r="I19" i="7"/>
  <c r="L19" i="7"/>
  <c r="AT19" i="7"/>
  <c r="AE19" i="7"/>
  <c r="AV19" i="7"/>
  <c r="AI19" i="7"/>
  <c r="F19" i="7"/>
  <c r="AR19" i="7"/>
  <c r="N19" i="7"/>
  <c r="C19" i="7"/>
  <c r="P19" i="7"/>
  <c r="I47" i="4"/>
  <c r="I48" i="4"/>
  <c r="I49" i="4"/>
  <c r="B46" i="4"/>
  <c r="O6" i="4" s="1"/>
  <c r="I53" i="4"/>
  <c r="E56" i="4"/>
  <c r="D57" i="4"/>
  <c r="H57" i="4"/>
  <c r="G58" i="4"/>
  <c r="F59" i="4"/>
  <c r="E60" i="4"/>
  <c r="D61" i="4"/>
  <c r="H61" i="4"/>
  <c r="G62" i="4"/>
  <c r="F63" i="4"/>
  <c r="F56" i="4"/>
  <c r="F57" i="4"/>
  <c r="F58" i="4"/>
  <c r="G59" i="4"/>
  <c r="G60" i="4"/>
  <c r="G61" i="4"/>
  <c r="H62" i="4"/>
  <c r="H63" i="4"/>
  <c r="C60" i="4"/>
  <c r="G56" i="4"/>
  <c r="D58" i="4"/>
  <c r="E59" i="4"/>
  <c r="H60" i="4"/>
  <c r="E62" i="4"/>
  <c r="G63" i="4"/>
  <c r="C61" i="4"/>
  <c r="H56" i="4"/>
  <c r="H58" i="4"/>
  <c r="F60" i="4"/>
  <c r="F62" i="4"/>
  <c r="C58" i="4"/>
  <c r="E57" i="4"/>
  <c r="D59" i="4"/>
  <c r="E61" i="4"/>
  <c r="D63" i="4"/>
  <c r="C59" i="4"/>
  <c r="G57" i="4"/>
  <c r="H59" i="4"/>
  <c r="F61" i="4"/>
  <c r="E63" i="4"/>
  <c r="C62" i="4"/>
  <c r="D62" i="4"/>
  <c r="C56" i="4"/>
  <c r="D56" i="4"/>
  <c r="C57" i="4"/>
  <c r="E58" i="4"/>
  <c r="C63" i="4"/>
  <c r="D60" i="4"/>
  <c r="I50" i="4"/>
  <c r="I54" i="4"/>
  <c r="I51" i="4"/>
  <c r="I52" i="4"/>
  <c r="C22" i="3"/>
  <c r="C38" i="3"/>
  <c r="I25" i="5" l="1"/>
  <c r="K25" i="5" s="1"/>
  <c r="L25" i="5" s="1"/>
  <c r="M25" i="5" s="1"/>
  <c r="H29" i="5"/>
  <c r="J29" i="5" s="1"/>
  <c r="I26" i="5"/>
  <c r="K26" i="5" s="1"/>
  <c r="H26" i="5"/>
  <c r="J26" i="5" s="1"/>
  <c r="I30" i="5"/>
  <c r="K30" i="5" s="1"/>
  <c r="I28" i="5"/>
  <c r="K28" i="5" s="1"/>
  <c r="H27" i="5"/>
  <c r="J27" i="5" s="1"/>
  <c r="I27" i="5"/>
  <c r="K27" i="5" s="1"/>
  <c r="I24" i="5"/>
  <c r="K24" i="5" s="1"/>
  <c r="L24" i="5" s="1"/>
  <c r="M24" i="5" s="1"/>
  <c r="I23" i="5"/>
  <c r="K23" i="5" s="1"/>
  <c r="I29" i="5"/>
  <c r="K29" i="5" s="1"/>
  <c r="H28" i="5"/>
  <c r="J28" i="5" s="1"/>
  <c r="H30" i="5"/>
  <c r="J30" i="5" s="1"/>
  <c r="H23" i="5"/>
  <c r="J23" i="5" s="1"/>
  <c r="S38" i="3"/>
  <c r="AG38" i="3" s="1"/>
  <c r="W38" i="3"/>
  <c r="AK38" i="3" s="1"/>
  <c r="AA38" i="3"/>
  <c r="AO38" i="3" s="1"/>
  <c r="AE38" i="3"/>
  <c r="AS38" i="3" s="1"/>
  <c r="V38" i="3"/>
  <c r="AJ38" i="3" s="1"/>
  <c r="AB38" i="3"/>
  <c r="AP38" i="3" s="1"/>
  <c r="Y38" i="3"/>
  <c r="AM38" i="3" s="1"/>
  <c r="AF38" i="3"/>
  <c r="AT38" i="3" s="1"/>
  <c r="U38" i="3"/>
  <c r="AI38" i="3" s="1"/>
  <c r="AC38" i="3"/>
  <c r="AQ38" i="3" s="1"/>
  <c r="T38" i="3"/>
  <c r="AH38" i="3" s="1"/>
  <c r="Z38" i="3"/>
  <c r="AN38" i="3" s="1"/>
  <c r="X38" i="3"/>
  <c r="AL38" i="3" s="1"/>
  <c r="AD38" i="3"/>
  <c r="AR38" i="3" s="1"/>
  <c r="C5" i="9"/>
  <c r="AD6" i="4"/>
  <c r="AP6" i="4" s="1"/>
  <c r="AH6" i="4"/>
  <c r="AT6" i="4" s="1"/>
  <c r="AL6" i="4"/>
  <c r="AX6" i="4" s="1"/>
  <c r="AA6" i="4"/>
  <c r="AM6" i="4" s="1"/>
  <c r="AI6" i="4"/>
  <c r="AU6" i="4" s="1"/>
  <c r="AB6" i="4"/>
  <c r="AN6" i="4" s="1"/>
  <c r="AJ6" i="4"/>
  <c r="AV6" i="4" s="1"/>
  <c r="AC6" i="4"/>
  <c r="AO6" i="4" s="1"/>
  <c r="AG6" i="4"/>
  <c r="AS6" i="4" s="1"/>
  <c r="AK6" i="4"/>
  <c r="AW6" i="4" s="1"/>
  <c r="AE6" i="4"/>
  <c r="AQ6" i="4" s="1"/>
  <c r="AF6" i="4"/>
  <c r="AR6" i="4" s="1"/>
  <c r="AU19" i="8"/>
  <c r="AR19" i="8"/>
  <c r="AK19" i="8"/>
  <c r="AC19" i="8"/>
  <c r="W19" i="8"/>
  <c r="P19" i="8"/>
  <c r="H19" i="8"/>
  <c r="AT19" i="8"/>
  <c r="AS19" i="8"/>
  <c r="AM19" i="8"/>
  <c r="AF19" i="8"/>
  <c r="X19" i="8"/>
  <c r="Q19" i="8"/>
  <c r="K19" i="8"/>
  <c r="C19" i="8"/>
  <c r="AV19" i="8"/>
  <c r="AB19" i="8"/>
  <c r="AA19" i="8"/>
  <c r="AW19" i="8"/>
  <c r="AI19" i="8"/>
  <c r="U19" i="8"/>
  <c r="G19" i="8"/>
  <c r="AG19" i="8"/>
  <c r="S19" i="8"/>
  <c r="E19" i="8"/>
  <c r="AQ19" i="8"/>
  <c r="M19" i="8"/>
  <c r="AN19" i="8"/>
  <c r="L19" i="8"/>
  <c r="O19" i="8"/>
  <c r="AJ19" i="8"/>
  <c r="B19" i="8"/>
  <c r="R19" i="8"/>
  <c r="AH19" i="8"/>
  <c r="T19" i="8"/>
  <c r="F19" i="8"/>
  <c r="Z19" i="8"/>
  <c r="I19" i="8"/>
  <c r="AO19" i="8"/>
  <c r="V19" i="8"/>
  <c r="AP19" i="8"/>
  <c r="AE19" i="8"/>
  <c r="AD19" i="8"/>
  <c r="AL19" i="8"/>
  <c r="D19" i="8"/>
  <c r="N19" i="8"/>
  <c r="Y19" i="8"/>
  <c r="J19" i="8"/>
  <c r="I63" i="4"/>
  <c r="I56" i="4"/>
  <c r="I58" i="4"/>
  <c r="B55" i="4"/>
  <c r="O7" i="4" s="1"/>
  <c r="I57" i="4"/>
  <c r="I60" i="4"/>
  <c r="D65" i="4"/>
  <c r="E65" i="4"/>
  <c r="H66" i="4"/>
  <c r="F68" i="4"/>
  <c r="D70" i="4"/>
  <c r="G71" i="4"/>
  <c r="C67" i="4"/>
  <c r="F66" i="4"/>
  <c r="H68" i="4"/>
  <c r="H70" i="4"/>
  <c r="H72" i="4"/>
  <c r="C65" i="4"/>
  <c r="E67" i="4"/>
  <c r="G69" i="4"/>
  <c r="F72" i="4"/>
  <c r="D68" i="4"/>
  <c r="D72" i="4"/>
  <c r="G65" i="4"/>
  <c r="E69" i="4"/>
  <c r="C69" i="4"/>
  <c r="D66" i="4"/>
  <c r="F70" i="4"/>
  <c r="C71" i="4"/>
  <c r="E71" i="4"/>
  <c r="G67" i="4"/>
  <c r="C66" i="4"/>
  <c r="H69" i="4"/>
  <c r="G66" i="4"/>
  <c r="C72" i="4"/>
  <c r="D71" i="4"/>
  <c r="H67" i="4"/>
  <c r="G68" i="4"/>
  <c r="E72" i="4"/>
  <c r="D69" i="4"/>
  <c r="H65" i="4"/>
  <c r="C68" i="4"/>
  <c r="E70" i="4"/>
  <c r="D67" i="4"/>
  <c r="F71" i="4"/>
  <c r="E68" i="4"/>
  <c r="G72" i="4"/>
  <c r="F69" i="4"/>
  <c r="E66" i="4"/>
  <c r="C70" i="4"/>
  <c r="G70" i="4"/>
  <c r="F67" i="4"/>
  <c r="H71" i="4"/>
  <c r="F65" i="4"/>
  <c r="I62" i="4"/>
  <c r="I61" i="4"/>
  <c r="C23" i="3"/>
  <c r="C39" i="3"/>
  <c r="I59" i="4"/>
  <c r="L30" i="5" l="1"/>
  <c r="M30" i="5" s="1"/>
  <c r="L29" i="5"/>
  <c r="M29" i="5" s="1"/>
  <c r="L26" i="5"/>
  <c r="M26" i="5" s="1"/>
  <c r="L28" i="5"/>
  <c r="M28" i="5" s="1"/>
  <c r="L27" i="5"/>
  <c r="M27" i="5" s="1"/>
  <c r="L23" i="5"/>
  <c r="M23" i="5" s="1"/>
  <c r="AV19" i="9"/>
  <c r="AN19" i="9"/>
  <c r="AF19" i="9"/>
  <c r="X19" i="9"/>
  <c r="P19" i="9"/>
  <c r="H19" i="9"/>
  <c r="AW19" i="9"/>
  <c r="AO19" i="9"/>
  <c r="AG19" i="9"/>
  <c r="Y19" i="9"/>
  <c r="Q19" i="9"/>
  <c r="I19" i="9"/>
  <c r="AC19" i="9"/>
  <c r="AT19" i="9"/>
  <c r="AR19" i="9"/>
  <c r="L19" i="9"/>
  <c r="AK19" i="9"/>
  <c r="U19" i="9"/>
  <c r="E19" i="9"/>
  <c r="AJ19" i="9"/>
  <c r="T19" i="9"/>
  <c r="D19" i="9"/>
  <c r="AS19" i="9"/>
  <c r="M19" i="9"/>
  <c r="AB19" i="9"/>
  <c r="Z19" i="9"/>
  <c r="O19" i="9"/>
  <c r="AE19" i="9"/>
  <c r="AU19" i="9"/>
  <c r="N19" i="9"/>
  <c r="AD19" i="9"/>
  <c r="G19" i="9"/>
  <c r="AA19" i="9"/>
  <c r="R19" i="9"/>
  <c r="C19" i="9"/>
  <c r="W19" i="9"/>
  <c r="AQ19" i="9"/>
  <c r="AH19" i="9"/>
  <c r="J19" i="9"/>
  <c r="S19" i="9"/>
  <c r="AL19" i="9"/>
  <c r="AI19" i="9"/>
  <c r="F19" i="9"/>
  <c r="AP19" i="9"/>
  <c r="V19" i="9"/>
  <c r="K19" i="9"/>
  <c r="AM19" i="9"/>
  <c r="B19" i="9"/>
  <c r="U39" i="3"/>
  <c r="AI39" i="3" s="1"/>
  <c r="Y39" i="3"/>
  <c r="AM39" i="3" s="1"/>
  <c r="AC39" i="3"/>
  <c r="AQ39" i="3" s="1"/>
  <c r="V39" i="3"/>
  <c r="AJ39" i="3" s="1"/>
  <c r="AA39" i="3"/>
  <c r="AO39" i="3" s="1"/>
  <c r="AF39" i="3"/>
  <c r="AT39" i="3" s="1"/>
  <c r="X39" i="3"/>
  <c r="AL39" i="3" s="1"/>
  <c r="AE39" i="3"/>
  <c r="AS39" i="3" s="1"/>
  <c r="T39" i="3"/>
  <c r="AH39" i="3" s="1"/>
  <c r="S39" i="3"/>
  <c r="AG39" i="3" s="1"/>
  <c r="Z39" i="3"/>
  <c r="AN39" i="3" s="1"/>
  <c r="AB39" i="3"/>
  <c r="AP39" i="3" s="1"/>
  <c r="AD39" i="3"/>
  <c r="AR39" i="3" s="1"/>
  <c r="W39" i="3"/>
  <c r="AK39" i="3" s="1"/>
  <c r="C5" i="10"/>
  <c r="AD7" i="4"/>
  <c r="AP7" i="4" s="1"/>
  <c r="AH7" i="4"/>
  <c r="AT7" i="4" s="1"/>
  <c r="AL7" i="4"/>
  <c r="AX7" i="4" s="1"/>
  <c r="AA7" i="4"/>
  <c r="AM7" i="4" s="1"/>
  <c r="AE7" i="4"/>
  <c r="AQ7" i="4" s="1"/>
  <c r="AB7" i="4"/>
  <c r="AN7" i="4" s="1"/>
  <c r="AF7" i="4"/>
  <c r="AR7" i="4" s="1"/>
  <c r="AC7" i="4"/>
  <c r="AO7" i="4" s="1"/>
  <c r="AG7" i="4"/>
  <c r="AS7" i="4" s="1"/>
  <c r="AK7" i="4"/>
  <c r="AW7" i="4" s="1"/>
  <c r="AI7" i="4"/>
  <c r="AU7" i="4" s="1"/>
  <c r="AJ7" i="4"/>
  <c r="AV7" i="4" s="1"/>
  <c r="B64" i="4"/>
  <c r="O8" i="4" s="1"/>
  <c r="I71" i="4"/>
  <c r="I66" i="4"/>
  <c r="I69" i="4"/>
  <c r="G74" i="4"/>
  <c r="F75" i="4"/>
  <c r="E76" i="4"/>
  <c r="D77" i="4"/>
  <c r="H77" i="4"/>
  <c r="G78" i="4"/>
  <c r="F79" i="4"/>
  <c r="E80" i="4"/>
  <c r="D81" i="4"/>
  <c r="H81" i="4"/>
  <c r="C78" i="4"/>
  <c r="F74" i="4"/>
  <c r="G75" i="4"/>
  <c r="G76" i="4"/>
  <c r="G77" i="4"/>
  <c r="H78" i="4"/>
  <c r="H79" i="4"/>
  <c r="H80" i="4"/>
  <c r="C75" i="4"/>
  <c r="C80" i="4"/>
  <c r="H74" i="4"/>
  <c r="H75" i="4"/>
  <c r="H76" i="4"/>
  <c r="D78" i="4"/>
  <c r="E74" i="4"/>
  <c r="F76" i="4"/>
  <c r="F78" i="4"/>
  <c r="D80" i="4"/>
  <c r="F81" i="4"/>
  <c r="C79" i="4"/>
  <c r="C74" i="4"/>
  <c r="E78" i="4"/>
  <c r="D74" i="4"/>
  <c r="E77" i="4"/>
  <c r="E79" i="4"/>
  <c r="E81" i="4"/>
  <c r="C81" i="4"/>
  <c r="D75" i="4"/>
  <c r="F77" i="4"/>
  <c r="G79" i="4"/>
  <c r="G81" i="4"/>
  <c r="E75" i="4"/>
  <c r="F80" i="4"/>
  <c r="C76" i="4"/>
  <c r="D79" i="4"/>
  <c r="G80" i="4"/>
  <c r="C77" i="4"/>
  <c r="D76" i="4"/>
  <c r="I70" i="4"/>
  <c r="I68" i="4"/>
  <c r="I65" i="4"/>
  <c r="I67" i="4"/>
  <c r="I72" i="4"/>
  <c r="C24" i="3"/>
  <c r="C40" i="3"/>
  <c r="B31" i="5" l="1"/>
  <c r="F34" i="5" s="1"/>
  <c r="S40" i="3"/>
  <c r="AG40" i="3" s="1"/>
  <c r="W40" i="3"/>
  <c r="AK40" i="3" s="1"/>
  <c r="AA40" i="3"/>
  <c r="AO40" i="3" s="1"/>
  <c r="AE40" i="3"/>
  <c r="AS40" i="3" s="1"/>
  <c r="U40" i="3"/>
  <c r="AI40" i="3" s="1"/>
  <c r="Z40" i="3"/>
  <c r="AN40" i="3" s="1"/>
  <c r="AF40" i="3"/>
  <c r="AT40" i="3" s="1"/>
  <c r="X40" i="3"/>
  <c r="AL40" i="3" s="1"/>
  <c r="AD40" i="3"/>
  <c r="AR40" i="3" s="1"/>
  <c r="AB40" i="3"/>
  <c r="AP40" i="3" s="1"/>
  <c r="Y40" i="3"/>
  <c r="AM40" i="3" s="1"/>
  <c r="T40" i="3"/>
  <c r="AH40" i="3" s="1"/>
  <c r="V40" i="3"/>
  <c r="AJ40" i="3" s="1"/>
  <c r="AC40" i="3"/>
  <c r="AQ40" i="3" s="1"/>
  <c r="C5" i="11"/>
  <c r="AD8" i="4"/>
  <c r="AP8" i="4" s="1"/>
  <c r="AH8" i="4"/>
  <c r="AT8" i="4" s="1"/>
  <c r="AL8" i="4"/>
  <c r="AX8" i="4" s="1"/>
  <c r="AI8" i="4"/>
  <c r="AU8" i="4" s="1"/>
  <c r="AJ8" i="4"/>
  <c r="AV8" i="4" s="1"/>
  <c r="AC8" i="4"/>
  <c r="AO8" i="4" s="1"/>
  <c r="AG8" i="4"/>
  <c r="AS8" i="4" s="1"/>
  <c r="AK8" i="4"/>
  <c r="AW8" i="4" s="1"/>
  <c r="AA8" i="4"/>
  <c r="AM8" i="4" s="1"/>
  <c r="AE8" i="4"/>
  <c r="AQ8" i="4" s="1"/>
  <c r="AB8" i="4"/>
  <c r="AN8" i="4" s="1"/>
  <c r="AF8" i="4"/>
  <c r="AR8" i="4" s="1"/>
  <c r="AU19" i="10"/>
  <c r="R19" i="10"/>
  <c r="AH19" i="10"/>
  <c r="B19" i="10"/>
  <c r="G19" i="10"/>
  <c r="Z19" i="10"/>
  <c r="AV19" i="10"/>
  <c r="AF19" i="10"/>
  <c r="P19" i="10"/>
  <c r="AW19" i="10"/>
  <c r="AG19" i="10"/>
  <c r="Q19" i="10"/>
  <c r="F19" i="10"/>
  <c r="AL19" i="10"/>
  <c r="K19" i="10"/>
  <c r="AQ19" i="10"/>
  <c r="J19" i="10"/>
  <c r="AE19" i="10"/>
  <c r="AJ19" i="10"/>
  <c r="T19" i="10"/>
  <c r="D19" i="10"/>
  <c r="AK19" i="10"/>
  <c r="U19" i="10"/>
  <c r="E19" i="10"/>
  <c r="AD19" i="10"/>
  <c r="C19" i="10"/>
  <c r="AI19" i="10"/>
  <c r="AP19" i="10"/>
  <c r="AB19" i="10"/>
  <c r="AS19" i="10"/>
  <c r="M19" i="10"/>
  <c r="AT19" i="10"/>
  <c r="AM19" i="10"/>
  <c r="AN19" i="10"/>
  <c r="H19" i="10"/>
  <c r="Y19" i="10"/>
  <c r="V19" i="10"/>
  <c r="AA19" i="10"/>
  <c r="W19" i="10"/>
  <c r="L19" i="10"/>
  <c r="N19" i="10"/>
  <c r="O19" i="10"/>
  <c r="AO19" i="10"/>
  <c r="X19" i="10"/>
  <c r="S19" i="10"/>
  <c r="AC19" i="10"/>
  <c r="I19" i="10"/>
  <c r="AR19" i="10"/>
  <c r="I77" i="4"/>
  <c r="I74" i="4"/>
  <c r="I75" i="4"/>
  <c r="B73" i="4"/>
  <c r="O9" i="4" s="1"/>
  <c r="I79" i="4"/>
  <c r="I81" i="4"/>
  <c r="F83" i="4"/>
  <c r="E84" i="4"/>
  <c r="D85" i="4"/>
  <c r="H85" i="4"/>
  <c r="G86" i="4"/>
  <c r="F87" i="4"/>
  <c r="E88" i="4"/>
  <c r="D89" i="4"/>
  <c r="H89" i="4"/>
  <c r="G90" i="4"/>
  <c r="C86" i="4"/>
  <c r="C90" i="4"/>
  <c r="E83" i="4"/>
  <c r="F84" i="4"/>
  <c r="F85" i="4"/>
  <c r="F86" i="4"/>
  <c r="G87" i="4"/>
  <c r="G88" i="4"/>
  <c r="G89" i="4"/>
  <c r="H90" i="4"/>
  <c r="C88" i="4"/>
  <c r="G83" i="4"/>
  <c r="G84" i="4"/>
  <c r="G85" i="4"/>
  <c r="H86" i="4"/>
  <c r="H87" i="4"/>
  <c r="H88" i="4"/>
  <c r="D90" i="4"/>
  <c r="C84" i="4"/>
  <c r="C89" i="4"/>
  <c r="D84" i="4"/>
  <c r="E86" i="4"/>
  <c r="F88" i="4"/>
  <c r="F90" i="4"/>
  <c r="H83" i="4"/>
  <c r="D87" i="4"/>
  <c r="F89" i="4"/>
  <c r="H84" i="4"/>
  <c r="E87" i="4"/>
  <c r="E90" i="4"/>
  <c r="E85" i="4"/>
  <c r="D88" i="4"/>
  <c r="C85" i="4"/>
  <c r="C83" i="4"/>
  <c r="D86" i="4"/>
  <c r="E89" i="4"/>
  <c r="C87" i="4"/>
  <c r="D83" i="4"/>
  <c r="I78" i="4"/>
  <c r="C25" i="3"/>
  <c r="C41" i="3"/>
  <c r="I76" i="4"/>
  <c r="I80" i="4"/>
  <c r="C37" i="5" l="1"/>
  <c r="D34" i="5"/>
  <c r="C41" i="5"/>
  <c r="D37" i="5"/>
  <c r="F35" i="5"/>
  <c r="C35" i="5"/>
  <c r="F39" i="5"/>
  <c r="E35" i="5"/>
  <c r="E37" i="5"/>
  <c r="E38" i="5"/>
  <c r="F36" i="5"/>
  <c r="D38" i="5"/>
  <c r="C38" i="5"/>
  <c r="E39" i="5"/>
  <c r="E40" i="5"/>
  <c r="D36" i="5"/>
  <c r="F37" i="5"/>
  <c r="D40" i="5"/>
  <c r="E41" i="5"/>
  <c r="F41" i="5"/>
  <c r="C39" i="5"/>
  <c r="C36" i="5"/>
  <c r="C40" i="5"/>
  <c r="D39" i="5"/>
  <c r="C34" i="5"/>
  <c r="E36" i="5"/>
  <c r="D35" i="5"/>
  <c r="E34" i="5"/>
  <c r="F40" i="5"/>
  <c r="D41" i="5"/>
  <c r="F38" i="5"/>
  <c r="U41" i="3"/>
  <c r="AI41" i="3" s="1"/>
  <c r="Y41" i="3"/>
  <c r="AM41" i="3" s="1"/>
  <c r="AC41" i="3"/>
  <c r="AQ41" i="3" s="1"/>
  <c r="T41" i="3"/>
  <c r="AH41" i="3" s="1"/>
  <c r="Z41" i="3"/>
  <c r="AN41" i="3" s="1"/>
  <c r="AE41" i="3"/>
  <c r="AS41" i="3" s="1"/>
  <c r="W41" i="3"/>
  <c r="AK41" i="3" s="1"/>
  <c r="AD41" i="3"/>
  <c r="AR41" i="3" s="1"/>
  <c r="S41" i="3"/>
  <c r="AG41" i="3" s="1"/>
  <c r="X41" i="3"/>
  <c r="AL41" i="3" s="1"/>
  <c r="AF41" i="3"/>
  <c r="AT41" i="3" s="1"/>
  <c r="AA41" i="3"/>
  <c r="AO41" i="3" s="1"/>
  <c r="V41" i="3"/>
  <c r="AJ41" i="3" s="1"/>
  <c r="AB41" i="3"/>
  <c r="AP41" i="3" s="1"/>
  <c r="AO19" i="11"/>
  <c r="Z19" i="11"/>
  <c r="J19" i="11"/>
  <c r="M19" i="11"/>
  <c r="AK19" i="11"/>
  <c r="W19" i="11"/>
  <c r="AL19" i="11"/>
  <c r="AJ19" i="11"/>
  <c r="T19" i="11"/>
  <c r="D19" i="11"/>
  <c r="AA19" i="11"/>
  <c r="AP19" i="11"/>
  <c r="F19" i="11"/>
  <c r="AS19" i="11"/>
  <c r="Q19" i="11"/>
  <c r="R19" i="11"/>
  <c r="AI19" i="11"/>
  <c r="AT19" i="11"/>
  <c r="AN19" i="11"/>
  <c r="X19" i="11"/>
  <c r="H19" i="11"/>
  <c r="AE19" i="11"/>
  <c r="C19" i="11"/>
  <c r="AD19" i="11"/>
  <c r="I19" i="11"/>
  <c r="AW19" i="11"/>
  <c r="B19" i="11"/>
  <c r="O19" i="11"/>
  <c r="AF19" i="11"/>
  <c r="AU19" i="11"/>
  <c r="AH19" i="11"/>
  <c r="N19" i="11"/>
  <c r="AC19" i="11"/>
  <c r="AQ19" i="11"/>
  <c r="AR19" i="11"/>
  <c r="L19" i="11"/>
  <c r="K19" i="11"/>
  <c r="AG19" i="11"/>
  <c r="P19" i="11"/>
  <c r="Y19" i="11"/>
  <c r="G19" i="11"/>
  <c r="AM19" i="11"/>
  <c r="V19" i="11"/>
  <c r="AV19" i="11"/>
  <c r="E19" i="11"/>
  <c r="AB19" i="11"/>
  <c r="U19" i="11"/>
  <c r="S19" i="11"/>
  <c r="C5" i="12"/>
  <c r="AD9" i="4"/>
  <c r="AP9" i="4" s="1"/>
  <c r="AH9" i="4"/>
  <c r="AT9" i="4" s="1"/>
  <c r="AL9" i="4"/>
  <c r="AX9" i="4" s="1"/>
  <c r="AA9" i="4"/>
  <c r="AM9" i="4" s="1"/>
  <c r="AI9" i="4"/>
  <c r="AU9" i="4" s="1"/>
  <c r="AB9" i="4"/>
  <c r="AN9" i="4" s="1"/>
  <c r="AJ9" i="4"/>
  <c r="AV9" i="4" s="1"/>
  <c r="AC9" i="4"/>
  <c r="AO9" i="4" s="1"/>
  <c r="AG9" i="4"/>
  <c r="AS9" i="4" s="1"/>
  <c r="AK9" i="4"/>
  <c r="AW9" i="4" s="1"/>
  <c r="AE9" i="4"/>
  <c r="AQ9" i="4" s="1"/>
  <c r="AF9" i="4"/>
  <c r="AR9" i="4" s="1"/>
  <c r="B82" i="4"/>
  <c r="O10" i="4" s="1"/>
  <c r="I89" i="4"/>
  <c r="I87" i="4"/>
  <c r="C26" i="3"/>
  <c r="C42" i="3"/>
  <c r="I84" i="4"/>
  <c r="I88" i="4"/>
  <c r="G92" i="4"/>
  <c r="E94" i="4"/>
  <c r="H95" i="4"/>
  <c r="F97" i="4"/>
  <c r="D99" i="4"/>
  <c r="C96" i="4"/>
  <c r="E93" i="4"/>
  <c r="D95" i="4"/>
  <c r="E97" i="4"/>
  <c r="F93" i="4"/>
  <c r="G95" i="4"/>
  <c r="D98" i="4"/>
  <c r="H99" i="4"/>
  <c r="D94" i="4"/>
  <c r="F96" i="4"/>
  <c r="E98" i="4"/>
  <c r="C95" i="4"/>
  <c r="F92" i="4"/>
  <c r="G99" i="4"/>
  <c r="G96" i="4"/>
  <c r="H98" i="4"/>
  <c r="C92" i="4"/>
  <c r="C99" i="4"/>
  <c r="H94" i="4"/>
  <c r="H92" i="4"/>
  <c r="D96" i="4"/>
  <c r="E99" i="4"/>
  <c r="D93" i="4"/>
  <c r="E96" i="4"/>
  <c r="F99" i="4"/>
  <c r="G93" i="4"/>
  <c r="H96" i="4"/>
  <c r="C93" i="4"/>
  <c r="H93" i="4"/>
  <c r="D97" i="4"/>
  <c r="C94" i="4"/>
  <c r="F94" i="4"/>
  <c r="G97" i="4"/>
  <c r="C97" i="4"/>
  <c r="G94" i="4"/>
  <c r="H97" i="4"/>
  <c r="C98" i="4"/>
  <c r="D92" i="4"/>
  <c r="E95" i="4"/>
  <c r="F98" i="4"/>
  <c r="E92" i="4"/>
  <c r="F95" i="4"/>
  <c r="G98" i="4"/>
  <c r="I83" i="4"/>
  <c r="I90" i="4"/>
  <c r="I85" i="4"/>
  <c r="I86" i="4"/>
  <c r="G40" i="5" l="1"/>
  <c r="G41" i="5"/>
  <c r="G35" i="5"/>
  <c r="G39" i="5"/>
  <c r="G34" i="5"/>
  <c r="G36" i="5"/>
  <c r="G38" i="5"/>
  <c r="G37" i="5"/>
  <c r="AT19" i="12"/>
  <c r="AR19" i="12"/>
  <c r="AC19" i="12"/>
  <c r="N19" i="12"/>
  <c r="AW19" i="12"/>
  <c r="AH19" i="12"/>
  <c r="T19" i="12"/>
  <c r="F19" i="12"/>
  <c r="V19" i="12"/>
  <c r="M19" i="12"/>
  <c r="AJ19" i="12"/>
  <c r="H19" i="12"/>
  <c r="AB19" i="12"/>
  <c r="AO19" i="12"/>
  <c r="Q19" i="12"/>
  <c r="AS19" i="12"/>
  <c r="Y19" i="12"/>
  <c r="AU19" i="12"/>
  <c r="AE19" i="12"/>
  <c r="O19" i="12"/>
  <c r="P19" i="12"/>
  <c r="AK19" i="12"/>
  <c r="I19" i="12"/>
  <c r="AL19" i="12"/>
  <c r="R19" i="12"/>
  <c r="AI19" i="12"/>
  <c r="S19" i="12"/>
  <c r="C19" i="12"/>
  <c r="J19" i="12"/>
  <c r="AF19" i="12"/>
  <c r="B19" i="12"/>
  <c r="L19" i="12"/>
  <c r="AM19" i="12"/>
  <c r="G19" i="12"/>
  <c r="Z19" i="12"/>
  <c r="D19" i="12"/>
  <c r="AQ19" i="12"/>
  <c r="K19" i="12"/>
  <c r="U19" i="12"/>
  <c r="AG19" i="12"/>
  <c r="AA19" i="12"/>
  <c r="AN19" i="12"/>
  <c r="W19" i="12"/>
  <c r="E19" i="12"/>
  <c r="X19" i="12"/>
  <c r="AP19" i="12"/>
  <c r="AV19" i="12"/>
  <c r="AD19" i="12"/>
  <c r="S42" i="3"/>
  <c r="AG42" i="3" s="1"/>
  <c r="W42" i="3"/>
  <c r="AK42" i="3" s="1"/>
  <c r="AA42" i="3"/>
  <c r="AO42" i="3" s="1"/>
  <c r="AE42" i="3"/>
  <c r="AS42" i="3" s="1"/>
  <c r="T42" i="3"/>
  <c r="AH42" i="3" s="1"/>
  <c r="Y42" i="3"/>
  <c r="AM42" i="3" s="1"/>
  <c r="AD42" i="3"/>
  <c r="AR42" i="3" s="1"/>
  <c r="V42" i="3"/>
  <c r="AJ42" i="3" s="1"/>
  <c r="AC42" i="3"/>
  <c r="AQ42" i="3" s="1"/>
  <c r="Z42" i="3"/>
  <c r="AN42" i="3" s="1"/>
  <c r="X42" i="3"/>
  <c r="AL42" i="3" s="1"/>
  <c r="AF42" i="3"/>
  <c r="AT42" i="3" s="1"/>
  <c r="U42" i="3"/>
  <c r="AI42" i="3" s="1"/>
  <c r="AB42" i="3"/>
  <c r="AP42" i="3" s="1"/>
  <c r="C5" i="13"/>
  <c r="AD10" i="4"/>
  <c r="AP10" i="4" s="1"/>
  <c r="AH10" i="4"/>
  <c r="AT10" i="4" s="1"/>
  <c r="AL10" i="4"/>
  <c r="AX10" i="4" s="1"/>
  <c r="AI10" i="4"/>
  <c r="AU10" i="4" s="1"/>
  <c r="AB10" i="4"/>
  <c r="AN10" i="4" s="1"/>
  <c r="AJ10" i="4"/>
  <c r="AV10" i="4" s="1"/>
  <c r="AC10" i="4"/>
  <c r="AO10" i="4" s="1"/>
  <c r="AG10" i="4"/>
  <c r="AS10" i="4" s="1"/>
  <c r="AK10" i="4"/>
  <c r="AW10" i="4" s="1"/>
  <c r="AA10" i="4"/>
  <c r="AM10" i="4" s="1"/>
  <c r="AE10" i="4"/>
  <c r="AQ10" i="4" s="1"/>
  <c r="AF10" i="4"/>
  <c r="AR10" i="4" s="1"/>
  <c r="I95" i="4"/>
  <c r="I98" i="4"/>
  <c r="I96" i="4"/>
  <c r="I94" i="4"/>
  <c r="I92" i="4"/>
  <c r="I97" i="4"/>
  <c r="I99" i="4"/>
  <c r="E102" i="4"/>
  <c r="F105" i="4"/>
  <c r="G108" i="4"/>
  <c r="H103" i="4"/>
  <c r="H107" i="4"/>
  <c r="G104" i="4"/>
  <c r="C104" i="4"/>
  <c r="C101" i="4"/>
  <c r="F101" i="4"/>
  <c r="E106" i="4"/>
  <c r="C108" i="4"/>
  <c r="D103" i="4"/>
  <c r="D107" i="4"/>
  <c r="F102" i="4"/>
  <c r="G105" i="4"/>
  <c r="H108" i="4"/>
  <c r="G102" i="4"/>
  <c r="H105" i="4"/>
  <c r="C102" i="4"/>
  <c r="C103" i="4"/>
  <c r="H102" i="4"/>
  <c r="E105" i="4"/>
  <c r="E103" i="4"/>
  <c r="F106" i="4"/>
  <c r="C105" i="4"/>
  <c r="F103" i="4"/>
  <c r="G106" i="4"/>
  <c r="C106" i="4"/>
  <c r="G107" i="4"/>
  <c r="E101" i="4"/>
  <c r="C107" i="4"/>
  <c r="G103" i="4"/>
  <c r="D104" i="4"/>
  <c r="E107" i="4"/>
  <c r="D101" i="4"/>
  <c r="E104" i="4"/>
  <c r="F107" i="4"/>
  <c r="D106" i="4"/>
  <c r="F108" i="4"/>
  <c r="D102" i="4"/>
  <c r="G101" i="4"/>
  <c r="H104" i="4"/>
  <c r="D108" i="4"/>
  <c r="H101" i="4"/>
  <c r="D105" i="4"/>
  <c r="E108" i="4"/>
  <c r="F104" i="4"/>
  <c r="H106" i="4"/>
  <c r="B91" i="4"/>
  <c r="O11" i="4" s="1"/>
  <c r="I93" i="4"/>
  <c r="C27" i="3"/>
  <c r="C43" i="3"/>
  <c r="B43" i="5" l="1"/>
  <c r="U44" i="5" s="1"/>
  <c r="U47" i="5" s="1"/>
  <c r="AR19" i="13"/>
  <c r="AN19" i="13"/>
  <c r="X19" i="13"/>
  <c r="H19" i="13"/>
  <c r="AS19" i="13"/>
  <c r="AC19" i="13"/>
  <c r="M19" i="13"/>
  <c r="P19" i="13"/>
  <c r="AK19" i="13"/>
  <c r="AF19" i="13"/>
  <c r="U19" i="13"/>
  <c r="AV19" i="13"/>
  <c r="E19" i="13"/>
  <c r="Q19" i="13"/>
  <c r="AW19" i="13"/>
  <c r="T19" i="13"/>
  <c r="Z19" i="13"/>
  <c r="AT19" i="13"/>
  <c r="O19" i="13"/>
  <c r="AE19" i="13"/>
  <c r="AU19" i="13"/>
  <c r="N19" i="13"/>
  <c r="I19" i="13"/>
  <c r="AO19" i="13"/>
  <c r="L19" i="13"/>
  <c r="R19" i="13"/>
  <c r="AP19" i="13"/>
  <c r="K19" i="13"/>
  <c r="AA19" i="13"/>
  <c r="AQ19" i="13"/>
  <c r="B19" i="13"/>
  <c r="AG19" i="13"/>
  <c r="AJ19" i="13"/>
  <c r="AH19" i="13"/>
  <c r="W19" i="13"/>
  <c r="Y19" i="13"/>
  <c r="AB19" i="13"/>
  <c r="AD19" i="13"/>
  <c r="S19" i="13"/>
  <c r="V19" i="13"/>
  <c r="F19" i="13"/>
  <c r="AI19" i="13"/>
  <c r="J19" i="13"/>
  <c r="AM19" i="13"/>
  <c r="AL19" i="13"/>
  <c r="C19" i="13"/>
  <c r="D19" i="13"/>
  <c r="G19" i="13"/>
  <c r="U43" i="3"/>
  <c r="AI43" i="3" s="1"/>
  <c r="Y43" i="3"/>
  <c r="AM43" i="3" s="1"/>
  <c r="AC43" i="3"/>
  <c r="AQ43" i="3" s="1"/>
  <c r="S43" i="3"/>
  <c r="AG43" i="3" s="1"/>
  <c r="X43" i="3"/>
  <c r="AL43" i="3" s="1"/>
  <c r="AD43" i="3"/>
  <c r="AR43" i="3" s="1"/>
  <c r="V43" i="3"/>
  <c r="AJ43" i="3" s="1"/>
  <c r="AB43" i="3"/>
  <c r="AP43" i="3" s="1"/>
  <c r="AF43" i="3"/>
  <c r="AT43" i="3" s="1"/>
  <c r="W43" i="3"/>
  <c r="AK43" i="3" s="1"/>
  <c r="AE43" i="3"/>
  <c r="AS43" i="3" s="1"/>
  <c r="Z43" i="3"/>
  <c r="AN43" i="3" s="1"/>
  <c r="T43" i="3"/>
  <c r="AH43" i="3" s="1"/>
  <c r="AA43" i="3"/>
  <c r="AO43" i="3" s="1"/>
  <c r="C5" i="14"/>
  <c r="AD11" i="4"/>
  <c r="AP11" i="4" s="1"/>
  <c r="AH11" i="4"/>
  <c r="AT11" i="4" s="1"/>
  <c r="AL11" i="4"/>
  <c r="AX11" i="4" s="1"/>
  <c r="AA11" i="4"/>
  <c r="AM11" i="4" s="1"/>
  <c r="AI11" i="4"/>
  <c r="AU11" i="4" s="1"/>
  <c r="AB11" i="4"/>
  <c r="AN11" i="4" s="1"/>
  <c r="AJ11" i="4"/>
  <c r="AV11" i="4" s="1"/>
  <c r="AC11" i="4"/>
  <c r="AO11" i="4" s="1"/>
  <c r="AG11" i="4"/>
  <c r="AS11" i="4" s="1"/>
  <c r="AK11" i="4"/>
  <c r="AW11" i="4" s="1"/>
  <c r="AE11" i="4"/>
  <c r="AQ11" i="4" s="1"/>
  <c r="AF11" i="4"/>
  <c r="AR11" i="4" s="1"/>
  <c r="B100" i="4"/>
  <c r="O12" i="4" s="1"/>
  <c r="D110" i="4"/>
  <c r="H110" i="4"/>
  <c r="G111" i="4"/>
  <c r="F112" i="4"/>
  <c r="E113" i="4"/>
  <c r="D114" i="4"/>
  <c r="H114" i="4"/>
  <c r="G115" i="4"/>
  <c r="F116" i="4"/>
  <c r="E117" i="4"/>
  <c r="C111" i="4"/>
  <c r="C115" i="4"/>
  <c r="F110" i="4"/>
  <c r="E111" i="4"/>
  <c r="D112" i="4"/>
  <c r="H112" i="4"/>
  <c r="G110" i="4"/>
  <c r="E112" i="4"/>
  <c r="G113" i="4"/>
  <c r="G114" i="4"/>
  <c r="H115" i="4"/>
  <c r="H116" i="4"/>
  <c r="H117" i="4"/>
  <c r="C116" i="4"/>
  <c r="D111" i="4"/>
  <c r="G112" i="4"/>
  <c r="H113" i="4"/>
  <c r="D115" i="4"/>
  <c r="D116" i="4"/>
  <c r="D117" i="4"/>
  <c r="C112" i="4"/>
  <c r="C117" i="4"/>
  <c r="F111" i="4"/>
  <c r="D113" i="4"/>
  <c r="E114" i="4"/>
  <c r="E115" i="4"/>
  <c r="E116" i="4"/>
  <c r="F117" i="4"/>
  <c r="C113" i="4"/>
  <c r="F113" i="4"/>
  <c r="G117" i="4"/>
  <c r="F114" i="4"/>
  <c r="E110" i="4"/>
  <c r="C114" i="4"/>
  <c r="C110" i="4"/>
  <c r="H111" i="4"/>
  <c r="F115" i="4"/>
  <c r="G116" i="4"/>
  <c r="I106" i="4"/>
  <c r="I103" i="4"/>
  <c r="C28" i="3"/>
  <c r="C44" i="3"/>
  <c r="I101" i="4"/>
  <c r="I107" i="4"/>
  <c r="I102" i="4"/>
  <c r="I108" i="4"/>
  <c r="I104" i="4"/>
  <c r="I105" i="4"/>
  <c r="AB44" i="5" l="1"/>
  <c r="AB47" i="5" s="1"/>
  <c r="K44" i="5"/>
  <c r="K47" i="5" s="1"/>
  <c r="S44" i="5"/>
  <c r="S47" i="5" s="1"/>
  <c r="AE44" i="5"/>
  <c r="AE47" i="5" s="1"/>
  <c r="O44" i="5"/>
  <c r="O47" i="5" s="1"/>
  <c r="L44" i="5"/>
  <c r="L47" i="5" s="1"/>
  <c r="F44" i="5"/>
  <c r="F47" i="5" s="1"/>
  <c r="R44" i="5"/>
  <c r="R47" i="5" s="1"/>
  <c r="P44" i="5"/>
  <c r="P47" i="5" s="1"/>
  <c r="Y44" i="5"/>
  <c r="Y47" i="5" s="1"/>
  <c r="AA44" i="5"/>
  <c r="AA47" i="5" s="1"/>
  <c r="W44" i="5"/>
  <c r="W47" i="5" s="1"/>
  <c r="M44" i="5"/>
  <c r="M47" i="5" s="1"/>
  <c r="AC44" i="5"/>
  <c r="AC47" i="5" s="1"/>
  <c r="B44" i="5"/>
  <c r="B47" i="5" s="1"/>
  <c r="V44" i="5"/>
  <c r="V47" i="5" s="1"/>
  <c r="D44" i="5"/>
  <c r="D47" i="5" s="1"/>
  <c r="Z44" i="5"/>
  <c r="Z47" i="5" s="1"/>
  <c r="E44" i="5"/>
  <c r="E47" i="5" s="1"/>
  <c r="G44" i="5"/>
  <c r="G47" i="5" s="1"/>
  <c r="I44" i="5"/>
  <c r="I47" i="5" s="1"/>
  <c r="AG44" i="5"/>
  <c r="AG47" i="5" s="1"/>
  <c r="AD44" i="5"/>
  <c r="AD47" i="5" s="1"/>
  <c r="AF44" i="5"/>
  <c r="AF47" i="5" s="1"/>
  <c r="T44" i="5"/>
  <c r="T47" i="5" s="1"/>
  <c r="X44" i="5"/>
  <c r="X47" i="5" s="1"/>
  <c r="C44" i="5"/>
  <c r="C47" i="5" s="1"/>
  <c r="Q44" i="5"/>
  <c r="Q47" i="5" s="1"/>
  <c r="N44" i="5"/>
  <c r="N47" i="5" s="1"/>
  <c r="J44" i="5"/>
  <c r="J47" i="5" s="1"/>
  <c r="H44" i="5"/>
  <c r="H47" i="5" s="1"/>
  <c r="S44" i="3"/>
  <c r="AG44" i="3" s="1"/>
  <c r="W44" i="3"/>
  <c r="AK44" i="3" s="1"/>
  <c r="AA44" i="3"/>
  <c r="AO44" i="3" s="1"/>
  <c r="AE44" i="3"/>
  <c r="AS44" i="3" s="1"/>
  <c r="X44" i="3"/>
  <c r="AL44" i="3" s="1"/>
  <c r="AC44" i="3"/>
  <c r="AQ44" i="3" s="1"/>
  <c r="U44" i="3"/>
  <c r="AI44" i="3" s="1"/>
  <c r="AB44" i="3"/>
  <c r="AP44" i="3" s="1"/>
  <c r="Y44" i="3"/>
  <c r="AM44" i="3" s="1"/>
  <c r="V44" i="3"/>
  <c r="AJ44" i="3" s="1"/>
  <c r="AD44" i="3"/>
  <c r="AR44" i="3" s="1"/>
  <c r="AF44" i="3"/>
  <c r="AT44" i="3" s="1"/>
  <c r="T44" i="3"/>
  <c r="AH44" i="3" s="1"/>
  <c r="Z44" i="3"/>
  <c r="AN44" i="3" s="1"/>
  <c r="C5" i="15"/>
  <c r="AD12" i="4"/>
  <c r="AP12" i="4" s="1"/>
  <c r="AH12" i="4"/>
  <c r="AT12" i="4" s="1"/>
  <c r="AL12" i="4"/>
  <c r="AX12" i="4" s="1"/>
  <c r="AA12" i="4"/>
  <c r="AM12" i="4" s="1"/>
  <c r="AI12" i="4"/>
  <c r="AU12" i="4" s="1"/>
  <c r="AB12" i="4"/>
  <c r="AN12" i="4" s="1"/>
  <c r="AF12" i="4"/>
  <c r="AR12" i="4" s="1"/>
  <c r="AC12" i="4"/>
  <c r="AO12" i="4" s="1"/>
  <c r="AG12" i="4"/>
  <c r="AS12" i="4" s="1"/>
  <c r="AK12" i="4"/>
  <c r="AW12" i="4" s="1"/>
  <c r="AE12" i="4"/>
  <c r="AQ12" i="4" s="1"/>
  <c r="AJ12" i="4"/>
  <c r="AV12" i="4" s="1"/>
  <c r="AK19" i="14"/>
  <c r="AO19" i="14"/>
  <c r="Y19" i="14"/>
  <c r="J19" i="14"/>
  <c r="AP19" i="14"/>
  <c r="AC19" i="14"/>
  <c r="M19" i="14"/>
  <c r="B19" i="14"/>
  <c r="U19" i="14"/>
  <c r="AS19" i="14"/>
  <c r="R19" i="14"/>
  <c r="AH19" i="14"/>
  <c r="I19" i="14"/>
  <c r="AG19" i="14"/>
  <c r="Z19" i="14"/>
  <c r="AR19" i="14"/>
  <c r="AB19" i="14"/>
  <c r="L19" i="14"/>
  <c r="AQ19" i="14"/>
  <c r="AA19" i="14"/>
  <c r="K19" i="14"/>
  <c r="F19" i="14"/>
  <c r="AL19" i="14"/>
  <c r="Q19" i="14"/>
  <c r="AW19" i="14"/>
  <c r="AF19" i="14"/>
  <c r="P19" i="14"/>
  <c r="AU19" i="14"/>
  <c r="AE19" i="14"/>
  <c r="O19" i="14"/>
  <c r="AD19" i="14"/>
  <c r="AV19" i="14"/>
  <c r="T19" i="14"/>
  <c r="AI19" i="14"/>
  <c r="C19" i="14"/>
  <c r="V19" i="14"/>
  <c r="X19" i="14"/>
  <c r="AM19" i="14"/>
  <c r="G19" i="14"/>
  <c r="N19" i="14"/>
  <c r="E19" i="14"/>
  <c r="H19" i="14"/>
  <c r="D19" i="14"/>
  <c r="W19" i="14"/>
  <c r="AT19" i="14"/>
  <c r="AJ19" i="14"/>
  <c r="S19" i="14"/>
  <c r="AN19" i="14"/>
  <c r="G119" i="4"/>
  <c r="F120" i="4"/>
  <c r="E121" i="4"/>
  <c r="D122" i="4"/>
  <c r="H122" i="4"/>
  <c r="G123" i="4"/>
  <c r="F124" i="4"/>
  <c r="E125" i="4"/>
  <c r="D126" i="4"/>
  <c r="H126" i="4"/>
  <c r="C123" i="4"/>
  <c r="E119" i="4"/>
  <c r="D120" i="4"/>
  <c r="H120" i="4"/>
  <c r="G121" i="4"/>
  <c r="F122" i="4"/>
  <c r="E123" i="4"/>
  <c r="D124" i="4"/>
  <c r="H124" i="4"/>
  <c r="G125" i="4"/>
  <c r="F126" i="4"/>
  <c r="C121" i="4"/>
  <c r="C125" i="4"/>
  <c r="F119" i="4"/>
  <c r="D121" i="4"/>
  <c r="G122" i="4"/>
  <c r="E124" i="4"/>
  <c r="H125" i="4"/>
  <c r="C122" i="4"/>
  <c r="H119" i="4"/>
  <c r="F121" i="4"/>
  <c r="D123" i="4"/>
  <c r="G124" i="4"/>
  <c r="E126" i="4"/>
  <c r="C124" i="4"/>
  <c r="E120" i="4"/>
  <c r="H121" i="4"/>
  <c r="F123" i="4"/>
  <c r="D125" i="4"/>
  <c r="G126" i="4"/>
  <c r="C126" i="4"/>
  <c r="D119" i="4"/>
  <c r="F125" i="4"/>
  <c r="C119" i="4"/>
  <c r="G120" i="4"/>
  <c r="C120" i="4"/>
  <c r="E122" i="4"/>
  <c r="H123" i="4"/>
  <c r="I114" i="4"/>
  <c r="I117" i="4"/>
  <c r="I115" i="4"/>
  <c r="I112" i="4"/>
  <c r="B109" i="4"/>
  <c r="O13" i="4" s="1"/>
  <c r="C29" i="3"/>
  <c r="C46" i="3" s="1"/>
  <c r="C45" i="3"/>
  <c r="I113" i="4"/>
  <c r="I111" i="4"/>
  <c r="I110" i="4"/>
  <c r="I116" i="4"/>
  <c r="Z48" i="5" l="1"/>
  <c r="J48" i="5"/>
  <c r="AD48" i="5"/>
  <c r="B48" i="5"/>
  <c r="N48" i="5"/>
  <c r="V48" i="5"/>
  <c r="R48" i="5"/>
  <c r="F48" i="5"/>
  <c r="S46" i="3"/>
  <c r="AG46" i="3" s="1"/>
  <c r="W46" i="3"/>
  <c r="AK46" i="3" s="1"/>
  <c r="AA46" i="3"/>
  <c r="AO46" i="3" s="1"/>
  <c r="AE46" i="3"/>
  <c r="AS46" i="3" s="1"/>
  <c r="V46" i="3"/>
  <c r="AJ46" i="3" s="1"/>
  <c r="AB46" i="3"/>
  <c r="AP46" i="3" s="1"/>
  <c r="T46" i="3"/>
  <c r="AH46" i="3" s="1"/>
  <c r="Z46" i="3"/>
  <c r="AN46" i="3" s="1"/>
  <c r="U46" i="3"/>
  <c r="AI46" i="3" s="1"/>
  <c r="AC46" i="3"/>
  <c r="AQ46" i="3" s="1"/>
  <c r="X46" i="3"/>
  <c r="AL46" i="3" s="1"/>
  <c r="AD46" i="3"/>
  <c r="AR46" i="3" s="1"/>
  <c r="Y46" i="3"/>
  <c r="AM46" i="3" s="1"/>
  <c r="AF46" i="3"/>
  <c r="AT46" i="3" s="1"/>
  <c r="U45" i="3"/>
  <c r="AI45" i="3" s="1"/>
  <c r="Y45" i="3"/>
  <c r="AM45" i="3" s="1"/>
  <c r="AC45" i="3"/>
  <c r="AQ45" i="3" s="1"/>
  <c r="W45" i="3"/>
  <c r="AK45" i="3" s="1"/>
  <c r="AB45" i="3"/>
  <c r="AP45" i="3" s="1"/>
  <c r="T45" i="3"/>
  <c r="AH45" i="3" s="1"/>
  <c r="AA45" i="3"/>
  <c r="AO45" i="3" s="1"/>
  <c r="V45" i="3"/>
  <c r="AJ45" i="3" s="1"/>
  <c r="AD45" i="3"/>
  <c r="AR45" i="3" s="1"/>
  <c r="X45" i="3"/>
  <c r="AL45" i="3" s="1"/>
  <c r="AE45" i="3"/>
  <c r="AS45" i="3" s="1"/>
  <c r="S45" i="3"/>
  <c r="AG45" i="3" s="1"/>
  <c r="Z45" i="3"/>
  <c r="AN45" i="3" s="1"/>
  <c r="AF45" i="3"/>
  <c r="AT45" i="3" s="1"/>
  <c r="AP19" i="15"/>
  <c r="AO19" i="15"/>
  <c r="AE19" i="15"/>
  <c r="W19" i="15"/>
  <c r="M19" i="15"/>
  <c r="C19" i="15"/>
  <c r="AS19" i="15"/>
  <c r="AH19" i="15"/>
  <c r="Y19" i="15"/>
  <c r="O19" i="15"/>
  <c r="E19" i="15"/>
  <c r="AK19" i="15"/>
  <c r="AU19" i="15"/>
  <c r="AD19" i="15"/>
  <c r="J19" i="15"/>
  <c r="AT19" i="15"/>
  <c r="Z19" i="15"/>
  <c r="I19" i="15"/>
  <c r="AM19" i="15"/>
  <c r="S19" i="15"/>
  <c r="B19" i="15"/>
  <c r="R19" i="15"/>
  <c r="N19" i="15"/>
  <c r="AV19" i="15"/>
  <c r="AF19" i="15"/>
  <c r="P19" i="15"/>
  <c r="F19" i="15"/>
  <c r="AA19" i="15"/>
  <c r="AW19" i="15"/>
  <c r="G19" i="15"/>
  <c r="AI19" i="15"/>
  <c r="AJ19" i="15"/>
  <c r="T19" i="15"/>
  <c r="D19" i="15"/>
  <c r="V19" i="15"/>
  <c r="AQ19" i="15"/>
  <c r="X19" i="15"/>
  <c r="Q19" i="15"/>
  <c r="AC19" i="15"/>
  <c r="AB19" i="15"/>
  <c r="K19" i="15"/>
  <c r="H19" i="15"/>
  <c r="AR19" i="15"/>
  <c r="AG19" i="15"/>
  <c r="L19" i="15"/>
  <c r="U19" i="15"/>
  <c r="AN19" i="15"/>
  <c r="AL19" i="15"/>
  <c r="C5" i="16"/>
  <c r="AD13" i="4"/>
  <c r="AP13" i="4" s="1"/>
  <c r="AL13" i="4"/>
  <c r="AX13" i="4" s="1"/>
  <c r="AA13" i="4"/>
  <c r="AM13" i="4" s="1"/>
  <c r="AE13" i="4"/>
  <c r="AQ13" i="4" s="1"/>
  <c r="AJ13" i="4"/>
  <c r="AV13" i="4" s="1"/>
  <c r="AC13" i="4"/>
  <c r="AO13" i="4" s="1"/>
  <c r="AG13" i="4"/>
  <c r="AS13" i="4" s="1"/>
  <c r="AK13" i="4"/>
  <c r="AW13" i="4" s="1"/>
  <c r="AH13" i="4"/>
  <c r="AT13" i="4" s="1"/>
  <c r="AI13" i="4"/>
  <c r="AU13" i="4" s="1"/>
  <c r="AB13" i="4"/>
  <c r="AN13" i="4" s="1"/>
  <c r="AF13" i="4"/>
  <c r="AR13" i="4" s="1"/>
  <c r="I120" i="4"/>
  <c r="B118" i="4"/>
  <c r="O14" i="4" s="1"/>
  <c r="H138" i="4"/>
  <c r="D142" i="4"/>
  <c r="C139" i="4"/>
  <c r="E137" i="4"/>
  <c r="F140" i="4"/>
  <c r="G143" i="4"/>
  <c r="E141" i="4"/>
  <c r="H142" i="4"/>
  <c r="C137" i="4"/>
  <c r="D138" i="4"/>
  <c r="F144" i="4"/>
  <c r="G139" i="4"/>
  <c r="C143" i="4"/>
  <c r="G137" i="4"/>
  <c r="H140" i="4"/>
  <c r="D144" i="4"/>
  <c r="H137" i="4"/>
  <c r="D141" i="4"/>
  <c r="E144" i="4"/>
  <c r="G140" i="4"/>
  <c r="G144" i="4"/>
  <c r="E138" i="4"/>
  <c r="H139" i="4"/>
  <c r="F138" i="4"/>
  <c r="G141" i="4"/>
  <c r="H144" i="4"/>
  <c r="G138" i="4"/>
  <c r="H141" i="4"/>
  <c r="C138" i="4"/>
  <c r="C140" i="4"/>
  <c r="D139" i="4"/>
  <c r="D143" i="4"/>
  <c r="E139" i="4"/>
  <c r="F142" i="4"/>
  <c r="C141" i="4"/>
  <c r="F139" i="4"/>
  <c r="G142" i="4"/>
  <c r="C142" i="4"/>
  <c r="H143" i="4"/>
  <c r="F137" i="4"/>
  <c r="F141" i="4"/>
  <c r="D140" i="4"/>
  <c r="E143" i="4"/>
  <c r="D137" i="4"/>
  <c r="E140" i="4"/>
  <c r="F143" i="4"/>
  <c r="E142" i="4"/>
  <c r="C144" i="4"/>
  <c r="I119" i="4"/>
  <c r="I125" i="4"/>
  <c r="E129" i="4"/>
  <c r="H130" i="4"/>
  <c r="F132" i="4"/>
  <c r="D134" i="4"/>
  <c r="G135" i="4"/>
  <c r="C135" i="4"/>
  <c r="F128" i="4"/>
  <c r="D130" i="4"/>
  <c r="G131" i="4"/>
  <c r="E133" i="4"/>
  <c r="H134" i="4"/>
  <c r="C131" i="4"/>
  <c r="G128" i="4"/>
  <c r="H131" i="4"/>
  <c r="D135" i="4"/>
  <c r="F129" i="4"/>
  <c r="G132" i="4"/>
  <c r="H135" i="4"/>
  <c r="E130" i="4"/>
  <c r="F133" i="4"/>
  <c r="C132" i="4"/>
  <c r="D131" i="4"/>
  <c r="E134" i="4"/>
  <c r="C128" i="4"/>
  <c r="H128" i="4"/>
  <c r="D132" i="4"/>
  <c r="E135" i="4"/>
  <c r="D129" i="4"/>
  <c r="E132" i="4"/>
  <c r="F135" i="4"/>
  <c r="G129" i="4"/>
  <c r="H132" i="4"/>
  <c r="C129" i="4"/>
  <c r="H129" i="4"/>
  <c r="D133" i="4"/>
  <c r="C130" i="4"/>
  <c r="F130" i="4"/>
  <c r="G133" i="4"/>
  <c r="C133" i="4"/>
  <c r="G130" i="4"/>
  <c r="H133" i="4"/>
  <c r="C134" i="4"/>
  <c r="D128" i="4"/>
  <c r="E131" i="4"/>
  <c r="F134" i="4"/>
  <c r="E128" i="4"/>
  <c r="F131" i="4"/>
  <c r="G134" i="4"/>
  <c r="I124" i="4"/>
  <c r="I123" i="4"/>
  <c r="I121" i="4"/>
  <c r="I126" i="4"/>
  <c r="I122" i="4"/>
  <c r="B50" i="5" l="1"/>
  <c r="B49" i="5"/>
  <c r="C6" i="6" s="1"/>
  <c r="B45" i="7" s="1"/>
  <c r="N46" i="7" s="1"/>
  <c r="C5" i="17"/>
  <c r="AL14" i="4"/>
  <c r="AX14" i="4" s="1"/>
  <c r="AE14" i="4"/>
  <c r="AQ14" i="4" s="1"/>
  <c r="AB14" i="4"/>
  <c r="AN14" i="4" s="1"/>
  <c r="AJ14" i="4"/>
  <c r="AV14" i="4" s="1"/>
  <c r="AC14" i="4"/>
  <c r="AO14" i="4" s="1"/>
  <c r="AG14" i="4"/>
  <c r="AS14" i="4" s="1"/>
  <c r="AK14" i="4"/>
  <c r="AW14" i="4" s="1"/>
  <c r="AD14" i="4"/>
  <c r="AP14" i="4" s="1"/>
  <c r="AH14" i="4"/>
  <c r="AT14" i="4" s="1"/>
  <c r="AA14" i="4"/>
  <c r="AM14" i="4" s="1"/>
  <c r="AI14" i="4"/>
  <c r="AU14" i="4" s="1"/>
  <c r="AF14" i="4"/>
  <c r="AR14" i="4" s="1"/>
  <c r="AT19" i="16"/>
  <c r="AS19" i="16"/>
  <c r="AJ19" i="16"/>
  <c r="AB19" i="16"/>
  <c r="Q19" i="16"/>
  <c r="H19" i="16"/>
  <c r="AW19" i="16"/>
  <c r="AL19" i="16"/>
  <c r="AC19" i="16"/>
  <c r="T19" i="16"/>
  <c r="I19" i="16"/>
  <c r="AD19" i="16"/>
  <c r="AO19" i="16"/>
  <c r="AH19" i="16"/>
  <c r="N19" i="16"/>
  <c r="M19" i="16"/>
  <c r="AR19" i="16"/>
  <c r="X19" i="16"/>
  <c r="F19" i="16"/>
  <c r="V19" i="16"/>
  <c r="B19" i="16"/>
  <c r="Y19" i="16"/>
  <c r="AU19" i="16"/>
  <c r="AE19" i="16"/>
  <c r="O19" i="16"/>
  <c r="P19" i="16"/>
  <c r="AK19" i="16"/>
  <c r="R19" i="16"/>
  <c r="AI19" i="16"/>
  <c r="S19" i="16"/>
  <c r="C19" i="16"/>
  <c r="J19" i="16"/>
  <c r="AF19" i="16"/>
  <c r="L19" i="16"/>
  <c r="AA19" i="16"/>
  <c r="AP19" i="16"/>
  <c r="D19" i="16"/>
  <c r="AM19" i="16"/>
  <c r="G19" i="16"/>
  <c r="Z19" i="16"/>
  <c r="AN19" i="16"/>
  <c r="W19" i="16"/>
  <c r="E19" i="16"/>
  <c r="K19" i="16"/>
  <c r="U19" i="16"/>
  <c r="AQ19" i="16"/>
  <c r="AV19" i="16"/>
  <c r="AG19" i="16"/>
  <c r="I134" i="4"/>
  <c r="I132" i="4"/>
  <c r="I144" i="4"/>
  <c r="I137" i="4"/>
  <c r="I143" i="4"/>
  <c r="I139" i="4"/>
  <c r="I131" i="4"/>
  <c r="I130" i="4"/>
  <c r="I142" i="4"/>
  <c r="I140" i="4"/>
  <c r="I129" i="4"/>
  <c r="I141" i="4"/>
  <c r="I128" i="4"/>
  <c r="I133" i="4"/>
  <c r="I135" i="4"/>
  <c r="B127" i="4"/>
  <c r="O15" i="4" s="1"/>
  <c r="I138" i="4"/>
  <c r="G46" i="7" l="1"/>
  <c r="D46" i="7"/>
  <c r="L28" i="2"/>
  <c r="N47" i="2" s="1"/>
  <c r="N65" i="2" s="1"/>
  <c r="Y46" i="7"/>
  <c r="Q46" i="7"/>
  <c r="AG46" i="7"/>
  <c r="W46" i="7"/>
  <c r="I46" i="7"/>
  <c r="C46" i="7"/>
  <c r="J46" i="7"/>
  <c r="F46" i="7"/>
  <c r="X46" i="7"/>
  <c r="S46" i="7"/>
  <c r="AD46" i="7"/>
  <c r="AE46" i="7"/>
  <c r="B46" i="7"/>
  <c r="P46" i="7"/>
  <c r="AF46" i="7"/>
  <c r="K46" i="7"/>
  <c r="AC46" i="7"/>
  <c r="E46" i="7"/>
  <c r="AA46" i="7"/>
  <c r="H46" i="7"/>
  <c r="T46" i="7"/>
  <c r="L46" i="7"/>
  <c r="AB46" i="7"/>
  <c r="V46" i="7"/>
  <c r="M46" i="7"/>
  <c r="O46" i="7"/>
  <c r="U46" i="7"/>
  <c r="Z46" i="7"/>
  <c r="R46" i="7"/>
  <c r="C5" i="18"/>
  <c r="AD15" i="4"/>
  <c r="AP15" i="4" s="1"/>
  <c r="AL15" i="4"/>
  <c r="AX15" i="4" s="1"/>
  <c r="AA15" i="4"/>
  <c r="AM15" i="4" s="1"/>
  <c r="AI15" i="4"/>
  <c r="AU15" i="4" s="1"/>
  <c r="AB15" i="4"/>
  <c r="AN15" i="4" s="1"/>
  <c r="AF15" i="4"/>
  <c r="AR15" i="4" s="1"/>
  <c r="AC15" i="4"/>
  <c r="AO15" i="4" s="1"/>
  <c r="AG15" i="4"/>
  <c r="AS15" i="4" s="1"/>
  <c r="AK15" i="4"/>
  <c r="AW15" i="4" s="1"/>
  <c r="AH15" i="4"/>
  <c r="AT15" i="4" s="1"/>
  <c r="AE15" i="4"/>
  <c r="AQ15" i="4" s="1"/>
  <c r="AJ15" i="4"/>
  <c r="AV15" i="4" s="1"/>
  <c r="AJ19" i="17"/>
  <c r="AN19" i="17"/>
  <c r="X19" i="17"/>
  <c r="H19" i="17"/>
  <c r="P19" i="17"/>
  <c r="AT19" i="17"/>
  <c r="AR19" i="17"/>
  <c r="D19" i="17"/>
  <c r="M19" i="17"/>
  <c r="AC19" i="17"/>
  <c r="AS19" i="17"/>
  <c r="J19" i="17"/>
  <c r="Z19" i="17"/>
  <c r="AP19" i="17"/>
  <c r="K19" i="17"/>
  <c r="AA19" i="17"/>
  <c r="AQ19" i="17"/>
  <c r="AU19" i="17"/>
  <c r="T19" i="17"/>
  <c r="Q19" i="17"/>
  <c r="AG19" i="17"/>
  <c r="AW19" i="17"/>
  <c r="N19" i="17"/>
  <c r="AD19" i="17"/>
  <c r="O19" i="17"/>
  <c r="AE19" i="17"/>
  <c r="AB19" i="17"/>
  <c r="I19" i="17"/>
  <c r="AO19" i="17"/>
  <c r="V19" i="17"/>
  <c r="G19" i="17"/>
  <c r="AM19" i="17"/>
  <c r="E19" i="17"/>
  <c r="B19" i="17"/>
  <c r="AL19" i="17"/>
  <c r="AI19" i="17"/>
  <c r="Y19" i="17"/>
  <c r="S19" i="17"/>
  <c r="L19" i="17"/>
  <c r="U19" i="17"/>
  <c r="F19" i="17"/>
  <c r="C19" i="17"/>
  <c r="AF19" i="17"/>
  <c r="R19" i="17"/>
  <c r="AH19" i="17"/>
  <c r="W19" i="17"/>
  <c r="AV19" i="17"/>
  <c r="AK19" i="17"/>
  <c r="B136" i="4"/>
  <c r="O16" i="4" s="1"/>
  <c r="B145" i="4"/>
  <c r="O17" i="4" s="1"/>
  <c r="F11" i="6"/>
  <c r="D12" i="6"/>
  <c r="E15" i="6"/>
  <c r="H15" i="6"/>
  <c r="G10" i="6"/>
  <c r="G11" i="6"/>
  <c r="E10" i="6"/>
  <c r="H13" i="6"/>
  <c r="G8" i="6"/>
  <c r="D14" i="6"/>
  <c r="H8" i="6"/>
  <c r="G15" i="6"/>
  <c r="H14" i="6"/>
  <c r="D10" i="6"/>
  <c r="H11" i="6"/>
  <c r="F14" i="6"/>
  <c r="D13" i="6"/>
  <c r="D8" i="6"/>
  <c r="D9" i="6"/>
  <c r="E14" i="6"/>
  <c r="E8" i="6"/>
  <c r="H12" i="6"/>
  <c r="G14" i="6"/>
  <c r="D11" i="6"/>
  <c r="F10" i="6"/>
  <c r="E12" i="6"/>
  <c r="F8" i="6"/>
  <c r="E9" i="6"/>
  <c r="F13" i="6"/>
  <c r="D15" i="6"/>
  <c r="G9" i="6"/>
  <c r="F12" i="6"/>
  <c r="H9" i="6"/>
  <c r="H10" i="6"/>
  <c r="G13" i="6"/>
  <c r="E11" i="6"/>
  <c r="G12" i="6"/>
  <c r="E13" i="6"/>
  <c r="F9" i="6"/>
  <c r="F15" i="6"/>
  <c r="C10" i="6"/>
  <c r="C11" i="6"/>
  <c r="C12" i="6"/>
  <c r="C15" i="6"/>
  <c r="C13" i="6"/>
  <c r="C9" i="6"/>
  <c r="C14" i="6"/>
  <c r="C8" i="6"/>
  <c r="O47" i="2" l="1"/>
  <c r="O65" i="2" s="1"/>
  <c r="M47" i="2"/>
  <c r="M65" i="2" s="1"/>
  <c r="Q47" i="2"/>
  <c r="Q65" i="2" s="1"/>
  <c r="P47" i="2"/>
  <c r="P65" i="2" s="1"/>
  <c r="C29" i="2"/>
  <c r="D48" i="2" s="1"/>
  <c r="D66" i="2" s="1"/>
  <c r="X28" i="2"/>
  <c r="S47" i="2"/>
  <c r="S65" i="2" s="1"/>
  <c r="L47" i="2"/>
  <c r="L65" i="2" s="1"/>
  <c r="R47" i="2"/>
  <c r="R65" i="2" s="1"/>
  <c r="I15" i="6"/>
  <c r="I13" i="6"/>
  <c r="I12" i="6"/>
  <c r="C5" i="20"/>
  <c r="AD17" i="4"/>
  <c r="AP17" i="4" s="1"/>
  <c r="AE17" i="4"/>
  <c r="AQ17" i="4" s="1"/>
  <c r="AB17" i="4"/>
  <c r="AN17" i="4" s="1"/>
  <c r="AJ17" i="4"/>
  <c r="AV17" i="4" s="1"/>
  <c r="AC17" i="4"/>
  <c r="AO17" i="4" s="1"/>
  <c r="AG17" i="4"/>
  <c r="AS17" i="4" s="1"/>
  <c r="AK17" i="4"/>
  <c r="AW17" i="4" s="1"/>
  <c r="AH17" i="4"/>
  <c r="AT17" i="4" s="1"/>
  <c r="AL17" i="4"/>
  <c r="AX17" i="4" s="1"/>
  <c r="AA17" i="4"/>
  <c r="AM17" i="4" s="1"/>
  <c r="AI17" i="4"/>
  <c r="AU17" i="4" s="1"/>
  <c r="AF17" i="4"/>
  <c r="AR17" i="4" s="1"/>
  <c r="C5" i="19"/>
  <c r="AD16" i="4"/>
  <c r="AP16" i="4" s="1"/>
  <c r="AL16" i="4"/>
  <c r="AX16" i="4" s="1"/>
  <c r="AA16" i="4"/>
  <c r="AM16" i="4" s="1"/>
  <c r="AE16" i="4"/>
  <c r="AQ16" i="4" s="1"/>
  <c r="AJ16" i="4"/>
  <c r="AV16" i="4" s="1"/>
  <c r="AC16" i="4"/>
  <c r="AO16" i="4" s="1"/>
  <c r="AG16" i="4"/>
  <c r="AS16" i="4" s="1"/>
  <c r="AK16" i="4"/>
  <c r="AW16" i="4" s="1"/>
  <c r="AH16" i="4"/>
  <c r="AT16" i="4" s="1"/>
  <c r="AI16" i="4"/>
  <c r="AU16" i="4" s="1"/>
  <c r="AB16" i="4"/>
  <c r="AN16" i="4" s="1"/>
  <c r="AF16" i="4"/>
  <c r="AR16" i="4" s="1"/>
  <c r="I8" i="6"/>
  <c r="I14" i="6"/>
  <c r="I9" i="6"/>
  <c r="I11" i="6"/>
  <c r="AK19" i="18"/>
  <c r="E19" i="18"/>
  <c r="AV19" i="18"/>
  <c r="U19" i="18"/>
  <c r="AH19" i="18"/>
  <c r="I19" i="18"/>
  <c r="AC19" i="18"/>
  <c r="AW19" i="18"/>
  <c r="N19" i="18"/>
  <c r="AD19" i="18"/>
  <c r="AT19" i="18"/>
  <c r="O19" i="18"/>
  <c r="AE19" i="18"/>
  <c r="AU19" i="18"/>
  <c r="P19" i="18"/>
  <c r="AF19" i="18"/>
  <c r="Y19" i="18"/>
  <c r="AS19" i="18"/>
  <c r="B19" i="18"/>
  <c r="R19" i="18"/>
  <c r="C19" i="18"/>
  <c r="S19" i="18"/>
  <c r="AI19" i="18"/>
  <c r="D19" i="18"/>
  <c r="T19" i="18"/>
  <c r="AJ19" i="18"/>
  <c r="AO19" i="18"/>
  <c r="F19" i="18"/>
  <c r="AL19" i="18"/>
  <c r="W19" i="18"/>
  <c r="H19" i="18"/>
  <c r="AN19" i="18"/>
  <c r="M19" i="18"/>
  <c r="V19" i="18"/>
  <c r="K19" i="18"/>
  <c r="L19" i="18"/>
  <c r="AP19" i="18"/>
  <c r="AB19" i="18"/>
  <c r="Q19" i="18"/>
  <c r="Z19" i="18"/>
  <c r="AA19" i="18"/>
  <c r="X19" i="18"/>
  <c r="AG19" i="18"/>
  <c r="AM19" i="18"/>
  <c r="J19" i="18"/>
  <c r="G19" i="18"/>
  <c r="AQ19" i="18"/>
  <c r="AR19" i="18"/>
  <c r="I10" i="6"/>
  <c r="H48" i="2" l="1"/>
  <c r="H66" i="2" s="1"/>
  <c r="G48" i="2"/>
  <c r="G66" i="2" s="1"/>
  <c r="J48" i="2"/>
  <c r="J66" i="2" s="1"/>
  <c r="I48" i="2"/>
  <c r="I66" i="2" s="1"/>
  <c r="C48" i="2"/>
  <c r="C66" i="2" s="1"/>
  <c r="E48" i="2"/>
  <c r="E66" i="2" s="1"/>
  <c r="F48" i="2"/>
  <c r="F66" i="2" s="1"/>
  <c r="B16" i="6"/>
  <c r="D20" i="6" s="1"/>
  <c r="D21" i="6" s="1"/>
  <c r="D23" i="6" s="1"/>
  <c r="AR19" i="19"/>
  <c r="R19" i="19"/>
  <c r="AC19" i="19"/>
  <c r="P19" i="19"/>
  <c r="AV19" i="19"/>
  <c r="AG19" i="19"/>
  <c r="D19" i="19"/>
  <c r="AJ19" i="19"/>
  <c r="N19" i="19"/>
  <c r="AD19" i="19"/>
  <c r="AT19" i="19"/>
  <c r="O19" i="19"/>
  <c r="AE19" i="19"/>
  <c r="E19" i="19"/>
  <c r="AK19" i="19"/>
  <c r="X19" i="19"/>
  <c r="I19" i="19"/>
  <c r="AO19" i="19"/>
  <c r="L19" i="19"/>
  <c r="B19" i="19"/>
  <c r="AH19" i="19"/>
  <c r="C19" i="19"/>
  <c r="S19" i="19"/>
  <c r="AI19" i="19"/>
  <c r="M19" i="19"/>
  <c r="AF19" i="19"/>
  <c r="AW19" i="19"/>
  <c r="F19" i="19"/>
  <c r="AL19" i="19"/>
  <c r="W19" i="19"/>
  <c r="U19" i="19"/>
  <c r="H19" i="19"/>
  <c r="AU19" i="19"/>
  <c r="V19" i="19"/>
  <c r="K19" i="19"/>
  <c r="Q19" i="19"/>
  <c r="AM19" i="19"/>
  <c r="AN19" i="19"/>
  <c r="T19" i="19"/>
  <c r="Z19" i="19"/>
  <c r="AA19" i="19"/>
  <c r="AB19" i="19"/>
  <c r="AP19" i="19"/>
  <c r="AS19" i="19"/>
  <c r="Y19" i="19"/>
  <c r="J19" i="19"/>
  <c r="G19" i="19"/>
  <c r="AQ19" i="19"/>
  <c r="AW19" i="20"/>
  <c r="G19" i="20"/>
  <c r="M19" i="20"/>
  <c r="AI19" i="20"/>
  <c r="I19" i="20"/>
  <c r="AE19" i="20"/>
  <c r="E19" i="20"/>
  <c r="AA19" i="20"/>
  <c r="AV19" i="20"/>
  <c r="W19" i="20"/>
  <c r="AR19" i="20"/>
  <c r="J19" i="20"/>
  <c r="Z19" i="20"/>
  <c r="AP19" i="20"/>
  <c r="AT19" i="20"/>
  <c r="S19" i="20"/>
  <c r="AN19" i="20"/>
  <c r="O19" i="20"/>
  <c r="AJ19" i="20"/>
  <c r="K19" i="20"/>
  <c r="AF19" i="20"/>
  <c r="AB19" i="20"/>
  <c r="N19" i="20"/>
  <c r="AD19" i="20"/>
  <c r="H19" i="20"/>
  <c r="D19" i="20"/>
  <c r="AU19" i="20"/>
  <c r="AQ19" i="20"/>
  <c r="AM19" i="20"/>
  <c r="R19" i="20"/>
  <c r="X19" i="20"/>
  <c r="T19" i="20"/>
  <c r="P19" i="20"/>
  <c r="L19" i="20"/>
  <c r="V19" i="20"/>
  <c r="Y19" i="20"/>
  <c r="Q19" i="20"/>
  <c r="F19" i="20"/>
  <c r="U19" i="20"/>
  <c r="C19" i="20"/>
  <c r="AO19" i="20"/>
  <c r="AG19" i="20"/>
  <c r="AH19" i="20"/>
  <c r="AC19" i="20"/>
  <c r="AL19" i="20"/>
  <c r="AS19" i="20"/>
  <c r="AK19" i="20"/>
  <c r="B19" i="20"/>
  <c r="Q20" i="6" l="1"/>
  <c r="Q21" i="6" s="1"/>
  <c r="E25" i="6" s="1"/>
  <c r="G20" i="6"/>
  <c r="G21" i="6" s="1"/>
  <c r="G23" i="6" s="1"/>
  <c r="AT20" i="6"/>
  <c r="AT21" i="6" s="1"/>
  <c r="D30" i="6" s="1"/>
  <c r="AD20" i="6"/>
  <c r="AD21" i="6" s="1"/>
  <c r="F27" i="6" s="1"/>
  <c r="AM20" i="6"/>
  <c r="AM21" i="6" s="1"/>
  <c r="C29" i="6" s="1"/>
  <c r="AL20" i="6"/>
  <c r="AL21" i="6" s="1"/>
  <c r="B29" i="6" s="1"/>
  <c r="AU20" i="6"/>
  <c r="AU21" i="6" s="1"/>
  <c r="E30" i="6" s="1"/>
  <c r="B20" i="6"/>
  <c r="B21" i="6" s="1"/>
  <c r="B23" i="6" s="1"/>
  <c r="AH20" i="6"/>
  <c r="AH21" i="6" s="1"/>
  <c r="D28" i="6" s="1"/>
  <c r="P20" i="6"/>
  <c r="P21" i="6" s="1"/>
  <c r="D25" i="6" s="1"/>
  <c r="AC20" i="6"/>
  <c r="AC21" i="6" s="1"/>
  <c r="E27" i="6" s="1"/>
  <c r="AJ20" i="6"/>
  <c r="AJ21" i="6" s="1"/>
  <c r="F28" i="6" s="1"/>
  <c r="K20" i="6"/>
  <c r="K21" i="6" s="1"/>
  <c r="E24" i="6" s="1"/>
  <c r="AK20" i="6"/>
  <c r="AK21" i="6" s="1"/>
  <c r="G28" i="6" s="1"/>
  <c r="AF20" i="6"/>
  <c r="AF21" i="6" s="1"/>
  <c r="B28" i="6" s="1"/>
  <c r="I20" i="6"/>
  <c r="I21" i="6" s="1"/>
  <c r="C24" i="6" s="1"/>
  <c r="V20" i="6"/>
  <c r="V21" i="6" s="1"/>
  <c r="D26" i="6" s="1"/>
  <c r="AV20" i="6"/>
  <c r="AV21" i="6" s="1"/>
  <c r="F30" i="6" s="1"/>
  <c r="Y20" i="6"/>
  <c r="Y21" i="6" s="1"/>
  <c r="G26" i="6" s="1"/>
  <c r="F20" i="6"/>
  <c r="F21" i="6" s="1"/>
  <c r="F23" i="6" s="1"/>
  <c r="AW20" i="6"/>
  <c r="AW21" i="6" s="1"/>
  <c r="G30" i="6" s="1"/>
  <c r="J20" i="6"/>
  <c r="J21" i="6" s="1"/>
  <c r="D24" i="6" s="1"/>
  <c r="AG20" i="6"/>
  <c r="AG21" i="6" s="1"/>
  <c r="C28" i="6" s="1"/>
  <c r="W20" i="6"/>
  <c r="W21" i="6" s="1"/>
  <c r="E26" i="6" s="1"/>
  <c r="H20" i="6"/>
  <c r="H21" i="6" s="1"/>
  <c r="B24" i="6" s="1"/>
  <c r="R20" i="6"/>
  <c r="R21" i="6" s="1"/>
  <c r="F25" i="6" s="1"/>
  <c r="AA20" i="6"/>
  <c r="AA21" i="6" s="1"/>
  <c r="C27" i="6" s="1"/>
  <c r="S20" i="6"/>
  <c r="S21" i="6" s="1"/>
  <c r="G25" i="6" s="1"/>
  <c r="AR20" i="6"/>
  <c r="AR21" i="6" s="1"/>
  <c r="B30" i="6" s="1"/>
  <c r="AI20" i="6"/>
  <c r="AI21" i="6" s="1"/>
  <c r="E28" i="6" s="1"/>
  <c r="X20" i="6"/>
  <c r="X21" i="6" s="1"/>
  <c r="F26" i="6" s="1"/>
  <c r="C20" i="6"/>
  <c r="C21" i="6" s="1"/>
  <c r="C23" i="6" s="1"/>
  <c r="AS20" i="6"/>
  <c r="AS21" i="6" s="1"/>
  <c r="C30" i="6" s="1"/>
  <c r="AE20" i="6"/>
  <c r="AE21" i="6" s="1"/>
  <c r="G27" i="6" s="1"/>
  <c r="U20" i="6"/>
  <c r="U21" i="6" s="1"/>
  <c r="C26" i="6" s="1"/>
  <c r="AN20" i="6"/>
  <c r="AN21" i="6" s="1"/>
  <c r="D29" i="6" s="1"/>
  <c r="N20" i="6"/>
  <c r="N21" i="6" s="1"/>
  <c r="B25" i="6" s="1"/>
  <c r="Z20" i="6"/>
  <c r="Z21" i="6" s="1"/>
  <c r="B27" i="6" s="1"/>
  <c r="E20" i="6"/>
  <c r="E21" i="6" s="1"/>
  <c r="E23" i="6" s="1"/>
  <c r="AO20" i="6"/>
  <c r="AO21" i="6" s="1"/>
  <c r="E29" i="6" s="1"/>
  <c r="O20" i="6"/>
  <c r="O21" i="6" s="1"/>
  <c r="C25" i="6" s="1"/>
  <c r="AQ20" i="6"/>
  <c r="AQ21" i="6" s="1"/>
  <c r="G29" i="6" s="1"/>
  <c r="L20" i="6"/>
  <c r="L21" i="6" s="1"/>
  <c r="F24" i="6" s="1"/>
  <c r="T20" i="6"/>
  <c r="T21" i="6" s="1"/>
  <c r="B26" i="6" s="1"/>
  <c r="AB20" i="6"/>
  <c r="AB21" i="6" s="1"/>
  <c r="D27" i="6" s="1"/>
  <c r="AP20" i="6"/>
  <c r="AP21" i="6" s="1"/>
  <c r="F29" i="6" s="1"/>
  <c r="M20" i="6"/>
  <c r="M21" i="6" s="1"/>
  <c r="G24" i="6" s="1"/>
  <c r="H27" i="6" l="1"/>
  <c r="J27" i="6" s="1"/>
  <c r="H30" i="6"/>
  <c r="J30" i="6" s="1"/>
  <c r="H29" i="6"/>
  <c r="J29" i="6" s="1"/>
  <c r="H28" i="6"/>
  <c r="J28" i="6" s="1"/>
  <c r="H23" i="6"/>
  <c r="J23" i="6" s="1"/>
  <c r="I25" i="6"/>
  <c r="K25" i="6" s="1"/>
  <c r="H26" i="6"/>
  <c r="J26" i="6" s="1"/>
  <c r="I23" i="6"/>
  <c r="K23" i="6" s="1"/>
  <c r="I24" i="6"/>
  <c r="K24" i="6" s="1"/>
  <c r="H24" i="6"/>
  <c r="J24" i="6" s="1"/>
  <c r="I30" i="6"/>
  <c r="K30" i="6" s="1"/>
  <c r="L30" i="6" s="1"/>
  <c r="M30" i="6" s="1"/>
  <c r="I26" i="6"/>
  <c r="K26" i="6" s="1"/>
  <c r="I28" i="6"/>
  <c r="K28" i="6" s="1"/>
  <c r="I27" i="6"/>
  <c r="K27" i="6" s="1"/>
  <c r="H25" i="6"/>
  <c r="J25" i="6" s="1"/>
  <c r="I29" i="6"/>
  <c r="K29" i="6" s="1"/>
  <c r="L27" i="6" l="1"/>
  <c r="M27" i="6" s="1"/>
  <c r="L29" i="6"/>
  <c r="M29" i="6" s="1"/>
  <c r="L28" i="6"/>
  <c r="M28" i="6" s="1"/>
  <c r="L26" i="6"/>
  <c r="M26" i="6" s="1"/>
  <c r="L23" i="6"/>
  <c r="M23" i="6" s="1"/>
  <c r="L24" i="6"/>
  <c r="M24" i="6" s="1"/>
  <c r="L25" i="6"/>
  <c r="M25" i="6" s="1"/>
  <c r="B31" i="6" l="1"/>
  <c r="E39" i="6" s="1"/>
  <c r="D41" i="6" l="1"/>
  <c r="C37" i="6"/>
  <c r="D40" i="6"/>
  <c r="D37" i="6"/>
  <c r="F39" i="6"/>
  <c r="F38" i="6"/>
  <c r="C36" i="6"/>
  <c r="C41" i="6"/>
  <c r="E35" i="6"/>
  <c r="F41" i="6"/>
  <c r="D35" i="6"/>
  <c r="F40" i="6"/>
  <c r="E34" i="6"/>
  <c r="C35" i="6"/>
  <c r="F36" i="6"/>
  <c r="E38" i="6"/>
  <c r="F37" i="6"/>
  <c r="C38" i="6"/>
  <c r="D38" i="6"/>
  <c r="C39" i="6"/>
  <c r="D36" i="6"/>
  <c r="C34" i="6"/>
  <c r="C40" i="6"/>
  <c r="E40" i="6"/>
  <c r="E37" i="6"/>
  <c r="E41" i="6"/>
  <c r="D39" i="6"/>
  <c r="F34" i="6"/>
  <c r="F35" i="6"/>
  <c r="E36" i="6"/>
  <c r="D34" i="6"/>
  <c r="K46" i="6"/>
  <c r="Z46" i="6"/>
  <c r="H46" i="6"/>
  <c r="AA46" i="6"/>
  <c r="AC46" i="6"/>
  <c r="W46" i="6"/>
  <c r="AE46" i="6"/>
  <c r="E46" i="6"/>
  <c r="G46" i="6"/>
  <c r="P46" i="6"/>
  <c r="AG46" i="6"/>
  <c r="T46" i="6"/>
  <c r="O46" i="6"/>
  <c r="R46" i="6"/>
  <c r="U46" i="6"/>
  <c r="AF46" i="6"/>
  <c r="L46" i="6"/>
  <c r="I46" i="6"/>
  <c r="D46" i="6"/>
  <c r="AB46" i="6"/>
  <c r="M46" i="6"/>
  <c r="N46" i="6"/>
  <c r="J46" i="6"/>
  <c r="S46" i="6"/>
  <c r="V46" i="6"/>
  <c r="AD46" i="6"/>
  <c r="C46" i="6"/>
  <c r="Y46" i="6"/>
  <c r="Q46" i="6"/>
  <c r="X46" i="6"/>
  <c r="F46" i="6"/>
  <c r="B46" i="6"/>
  <c r="G37" i="6" l="1"/>
  <c r="G35" i="6"/>
  <c r="G39" i="6"/>
  <c r="G40" i="6"/>
  <c r="G41" i="6"/>
  <c r="G36" i="6"/>
  <c r="G34" i="6"/>
  <c r="G38" i="6"/>
  <c r="B43" i="6" l="1"/>
  <c r="I44" i="6" s="1"/>
  <c r="I47" i="6" s="1"/>
  <c r="Y44" i="6" l="1"/>
  <c r="Y47" i="6" s="1"/>
  <c r="Z44" i="6"/>
  <c r="Z47" i="6" s="1"/>
  <c r="O44" i="6"/>
  <c r="O47" i="6" s="1"/>
  <c r="V44" i="6"/>
  <c r="V47" i="6" s="1"/>
  <c r="B44" i="6"/>
  <c r="B47" i="6" s="1"/>
  <c r="K44" i="6"/>
  <c r="K47" i="6" s="1"/>
  <c r="R44" i="6"/>
  <c r="R47" i="6" s="1"/>
  <c r="AG44" i="6"/>
  <c r="AG47" i="6" s="1"/>
  <c r="C44" i="6"/>
  <c r="C47" i="6" s="1"/>
  <c r="T44" i="6"/>
  <c r="T47" i="6" s="1"/>
  <c r="E44" i="6"/>
  <c r="E47" i="6" s="1"/>
  <c r="AD44" i="6"/>
  <c r="AD47" i="6" s="1"/>
  <c r="F44" i="6"/>
  <c r="F47" i="6" s="1"/>
  <c r="AB44" i="6"/>
  <c r="AB47" i="6" s="1"/>
  <c r="AE44" i="6"/>
  <c r="AE47" i="6" s="1"/>
  <c r="H44" i="6"/>
  <c r="H47" i="6" s="1"/>
  <c r="W44" i="6"/>
  <c r="W47" i="6" s="1"/>
  <c r="J44" i="6"/>
  <c r="J47" i="6" s="1"/>
  <c r="U44" i="6"/>
  <c r="U47" i="6" s="1"/>
  <c r="G44" i="6"/>
  <c r="G47" i="6" s="1"/>
  <c r="M44" i="6"/>
  <c r="M47" i="6" s="1"/>
  <c r="Q44" i="6"/>
  <c r="Q47" i="6" s="1"/>
  <c r="X44" i="6"/>
  <c r="X47" i="6" s="1"/>
  <c r="L44" i="6"/>
  <c r="L47" i="6" s="1"/>
  <c r="D44" i="6"/>
  <c r="D47" i="6" s="1"/>
  <c r="AF44" i="6"/>
  <c r="AF47" i="6" s="1"/>
  <c r="P44" i="6"/>
  <c r="P47" i="6" s="1"/>
  <c r="N44" i="6"/>
  <c r="N47" i="6" s="1"/>
  <c r="AC44" i="6"/>
  <c r="AC47" i="6" s="1"/>
  <c r="AA44" i="6"/>
  <c r="AA47" i="6" s="1"/>
  <c r="S44" i="6"/>
  <c r="S47" i="6" s="1"/>
  <c r="B48" i="6" l="1"/>
  <c r="Z48" i="6"/>
  <c r="AD48" i="6"/>
  <c r="V48" i="6"/>
  <c r="N48" i="6"/>
  <c r="F48" i="6"/>
  <c r="R48" i="6"/>
  <c r="J48" i="6"/>
  <c r="B50" i="6" l="1"/>
  <c r="B49" i="6"/>
  <c r="C6" i="7" s="1"/>
  <c r="C13" i="7" s="1"/>
  <c r="F10" i="7" l="1"/>
  <c r="C9" i="7"/>
  <c r="H14" i="7"/>
  <c r="H15" i="7"/>
  <c r="H9" i="7"/>
  <c r="C10" i="7"/>
  <c r="F11" i="7"/>
  <c r="C14" i="7"/>
  <c r="E14" i="7"/>
  <c r="D14" i="7"/>
  <c r="F14" i="7"/>
  <c r="E12" i="7"/>
  <c r="D8" i="7"/>
  <c r="F9" i="7"/>
  <c r="D9" i="7"/>
  <c r="E15" i="7"/>
  <c r="H12" i="7"/>
  <c r="B45" i="8"/>
  <c r="G46" i="8" s="1"/>
  <c r="E10" i="7"/>
  <c r="G12" i="7"/>
  <c r="F8" i="7"/>
  <c r="H13" i="7"/>
  <c r="D13" i="7"/>
  <c r="E13" i="7"/>
  <c r="H10" i="7"/>
  <c r="C11" i="7"/>
  <c r="L29" i="2"/>
  <c r="C30" i="2" s="1"/>
  <c r="H11" i="7"/>
  <c r="G8" i="7"/>
  <c r="E11" i="7"/>
  <c r="D10" i="7"/>
  <c r="D11" i="7"/>
  <c r="G11" i="7"/>
  <c r="G10" i="7"/>
  <c r="F13" i="7"/>
  <c r="G15" i="7"/>
  <c r="C15" i="7"/>
  <c r="E46" i="8"/>
  <c r="E8" i="7"/>
  <c r="C8" i="7"/>
  <c r="E9" i="7"/>
  <c r="D15" i="7"/>
  <c r="G14" i="7"/>
  <c r="C12" i="7"/>
  <c r="F15" i="7"/>
  <c r="H8" i="7"/>
  <c r="G13" i="7"/>
  <c r="G9" i="7"/>
  <c r="F12" i="7"/>
  <c r="D12" i="7"/>
  <c r="I46" i="8" l="1"/>
  <c r="M46" i="8"/>
  <c r="B46" i="8"/>
  <c r="S46" i="8"/>
  <c r="D46" i="8"/>
  <c r="Q46" i="8"/>
  <c r="X29" i="2"/>
  <c r="I10" i="7"/>
  <c r="AG46" i="8"/>
  <c r="N46" i="8"/>
  <c r="P46" i="8"/>
  <c r="W46" i="8"/>
  <c r="U46" i="8"/>
  <c r="I14" i="7"/>
  <c r="I13" i="7"/>
  <c r="N48" i="2"/>
  <c r="N66" i="2" s="1"/>
  <c r="F49" i="2"/>
  <c r="F67" i="2" s="1"/>
  <c r="J49" i="2"/>
  <c r="J67" i="2" s="1"/>
  <c r="P48" i="2"/>
  <c r="P66" i="2" s="1"/>
  <c r="S48" i="2"/>
  <c r="S66" i="2" s="1"/>
  <c r="I11" i="7"/>
  <c r="C46" i="8"/>
  <c r="H46" i="8"/>
  <c r="J46" i="8"/>
  <c r="K46" i="8"/>
  <c r="R46" i="8"/>
  <c r="AE46" i="8"/>
  <c r="AF46" i="8"/>
  <c r="AB46" i="8"/>
  <c r="Z46" i="8"/>
  <c r="M48" i="2"/>
  <c r="M66" i="2" s="1"/>
  <c r="R48" i="2"/>
  <c r="R66" i="2" s="1"/>
  <c r="L46" i="8"/>
  <c r="O46" i="8"/>
  <c r="T46" i="8"/>
  <c r="L48" i="2"/>
  <c r="L66" i="2" s="1"/>
  <c r="AC46" i="8"/>
  <c r="I9" i="7"/>
  <c r="AA46" i="8"/>
  <c r="F46" i="8"/>
  <c r="Y46" i="8"/>
  <c r="X46" i="8"/>
  <c r="O48" i="2"/>
  <c r="O66" i="2" s="1"/>
  <c r="Q48" i="2"/>
  <c r="Q66" i="2" s="1"/>
  <c r="V46" i="8"/>
  <c r="AD46" i="8"/>
  <c r="I15" i="7"/>
  <c r="I8" i="7"/>
  <c r="H49" i="2"/>
  <c r="H67" i="2" s="1"/>
  <c r="E49" i="2"/>
  <c r="E67" i="2" s="1"/>
  <c r="I49" i="2"/>
  <c r="I67" i="2" s="1"/>
  <c r="C49" i="2"/>
  <c r="C67" i="2" s="1"/>
  <c r="G49" i="2"/>
  <c r="G67" i="2" s="1"/>
  <c r="I12" i="7"/>
  <c r="D49" i="2"/>
  <c r="D67" i="2" s="1"/>
  <c r="B16" i="7" l="1"/>
  <c r="P20" i="7" s="1"/>
  <c r="P21" i="7" s="1"/>
  <c r="D25" i="7" s="1"/>
  <c r="S20" i="7" l="1"/>
  <c r="S21" i="7" s="1"/>
  <c r="G25" i="7" s="1"/>
  <c r="AJ20" i="7"/>
  <c r="AJ21" i="7" s="1"/>
  <c r="F28" i="7" s="1"/>
  <c r="Y20" i="7"/>
  <c r="Y21" i="7" s="1"/>
  <c r="G26" i="7" s="1"/>
  <c r="L20" i="7"/>
  <c r="L21" i="7" s="1"/>
  <c r="F24" i="7" s="1"/>
  <c r="AL20" i="7"/>
  <c r="AL21" i="7" s="1"/>
  <c r="B29" i="7" s="1"/>
  <c r="AO20" i="7"/>
  <c r="AO21" i="7" s="1"/>
  <c r="E29" i="7" s="1"/>
  <c r="AG20" i="7"/>
  <c r="AG21" i="7" s="1"/>
  <c r="C28" i="7" s="1"/>
  <c r="AH20" i="7"/>
  <c r="AH21" i="7" s="1"/>
  <c r="D28" i="7" s="1"/>
  <c r="F20" i="7"/>
  <c r="F21" i="7" s="1"/>
  <c r="F23" i="7" s="1"/>
  <c r="AA20" i="7"/>
  <c r="AA21" i="7" s="1"/>
  <c r="C27" i="7" s="1"/>
  <c r="X20" i="7"/>
  <c r="X21" i="7" s="1"/>
  <c r="F26" i="7" s="1"/>
  <c r="C20" i="7"/>
  <c r="C21" i="7" s="1"/>
  <c r="C23" i="7" s="1"/>
  <c r="E20" i="7"/>
  <c r="E21" i="7" s="1"/>
  <c r="E23" i="7" s="1"/>
  <c r="W20" i="7"/>
  <c r="W21" i="7" s="1"/>
  <c r="E26" i="7" s="1"/>
  <c r="U20" i="7"/>
  <c r="U21" i="7" s="1"/>
  <c r="C26" i="7" s="1"/>
  <c r="B20" i="7"/>
  <c r="B21" i="7" s="1"/>
  <c r="B23" i="7" s="1"/>
  <c r="AE20" i="7"/>
  <c r="AE21" i="7" s="1"/>
  <c r="G27" i="7" s="1"/>
  <c r="AV20" i="7"/>
  <c r="AV21" i="7" s="1"/>
  <c r="F30" i="7" s="1"/>
  <c r="AN20" i="7"/>
  <c r="AN21" i="7" s="1"/>
  <c r="D29" i="7" s="1"/>
  <c r="AC20" i="7"/>
  <c r="AC21" i="7" s="1"/>
  <c r="E27" i="7" s="1"/>
  <c r="AT20" i="7"/>
  <c r="AT21" i="7" s="1"/>
  <c r="D30" i="7" s="1"/>
  <c r="R20" i="7"/>
  <c r="R21" i="7" s="1"/>
  <c r="F25" i="7" s="1"/>
  <c r="AB20" i="7"/>
  <c r="AB21" i="7" s="1"/>
  <c r="D27" i="7" s="1"/>
  <c r="T20" i="7"/>
  <c r="T21" i="7" s="1"/>
  <c r="B26" i="7" s="1"/>
  <c r="AP20" i="7"/>
  <c r="AP21" i="7" s="1"/>
  <c r="F29" i="7" s="1"/>
  <c r="I20" i="7"/>
  <c r="I21" i="7" s="1"/>
  <c r="C24" i="7" s="1"/>
  <c r="AW20" i="7"/>
  <c r="AW21" i="7" s="1"/>
  <c r="G30" i="7" s="1"/>
  <c r="V20" i="7"/>
  <c r="V21" i="7" s="1"/>
  <c r="D26" i="7" s="1"/>
  <c r="M20" i="7"/>
  <c r="M21" i="7" s="1"/>
  <c r="G24" i="7" s="1"/>
  <c r="K20" i="7"/>
  <c r="K21" i="7" s="1"/>
  <c r="E24" i="7" s="1"/>
  <c r="AS20" i="7"/>
  <c r="AS21" i="7" s="1"/>
  <c r="C30" i="7" s="1"/>
  <c r="AK20" i="7"/>
  <c r="AK21" i="7" s="1"/>
  <c r="G28" i="7" s="1"/>
  <c r="AI20" i="7"/>
  <c r="AI21" i="7" s="1"/>
  <c r="E28" i="7" s="1"/>
  <c r="AR20" i="7"/>
  <c r="AR21" i="7" s="1"/>
  <c r="B30" i="7" s="1"/>
  <c r="AQ20" i="7"/>
  <c r="AQ21" i="7" s="1"/>
  <c r="G29" i="7" s="1"/>
  <c r="AD20" i="7"/>
  <c r="AD21" i="7" s="1"/>
  <c r="F27" i="7" s="1"/>
  <c r="AF20" i="7"/>
  <c r="AF21" i="7" s="1"/>
  <c r="B28" i="7" s="1"/>
  <c r="AM20" i="7"/>
  <c r="AM21" i="7" s="1"/>
  <c r="C29" i="7" s="1"/>
  <c r="Z20" i="7"/>
  <c r="Z21" i="7" s="1"/>
  <c r="B27" i="7" s="1"/>
  <c r="D20" i="7"/>
  <c r="D21" i="7" s="1"/>
  <c r="D23" i="7" s="1"/>
  <c r="AU20" i="7"/>
  <c r="AU21" i="7" s="1"/>
  <c r="E30" i="7" s="1"/>
  <c r="O20" i="7"/>
  <c r="O21" i="7" s="1"/>
  <c r="C25" i="7" s="1"/>
  <c r="G20" i="7"/>
  <c r="G21" i="7" s="1"/>
  <c r="G23" i="7" s="1"/>
  <c r="H20" i="7"/>
  <c r="H21" i="7" s="1"/>
  <c r="B24" i="7" s="1"/>
  <c r="N20" i="7"/>
  <c r="N21" i="7" s="1"/>
  <c r="B25" i="7" s="1"/>
  <c r="Q20" i="7"/>
  <c r="Q21" i="7" s="1"/>
  <c r="E25" i="7" s="1"/>
  <c r="J20" i="7"/>
  <c r="J21" i="7" s="1"/>
  <c r="D24" i="7" s="1"/>
  <c r="H25" i="7" l="1"/>
  <c r="J25" i="7" s="1"/>
  <c r="H26" i="7"/>
  <c r="J26" i="7" s="1"/>
  <c r="H23" i="7"/>
  <c r="J23" i="7" s="1"/>
  <c r="H28" i="7"/>
  <c r="J28" i="7" s="1"/>
  <c r="I28" i="7"/>
  <c r="K28" i="7" s="1"/>
  <c r="H24" i="7"/>
  <c r="J24" i="7" s="1"/>
  <c r="I23" i="7"/>
  <c r="K23" i="7" s="1"/>
  <c r="L23" i="7" s="1"/>
  <c r="M23" i="7" s="1"/>
  <c r="I24" i="7"/>
  <c r="K24" i="7" s="1"/>
  <c r="H27" i="7"/>
  <c r="J27" i="7" s="1"/>
  <c r="H29" i="7"/>
  <c r="J29" i="7" s="1"/>
  <c r="I29" i="7"/>
  <c r="K29" i="7" s="1"/>
  <c r="I26" i="7"/>
  <c r="K26" i="7" s="1"/>
  <c r="I27" i="7"/>
  <c r="K27" i="7" s="1"/>
  <c r="H30" i="7"/>
  <c r="J30" i="7" s="1"/>
  <c r="I30" i="7"/>
  <c r="K30" i="7" s="1"/>
  <c r="I25" i="7"/>
  <c r="K25" i="7" s="1"/>
  <c r="L25" i="7" s="1"/>
  <c r="M25" i="7" s="1"/>
  <c r="L27" i="7" l="1"/>
  <c r="M27" i="7" s="1"/>
  <c r="L26" i="7"/>
  <c r="M26" i="7" s="1"/>
  <c r="L28" i="7"/>
  <c r="M28" i="7" s="1"/>
  <c r="L30" i="7"/>
  <c r="M30" i="7" s="1"/>
  <c r="L24" i="7"/>
  <c r="M24" i="7" s="1"/>
  <c r="L29" i="7"/>
  <c r="M29" i="7" s="1"/>
  <c r="B31" i="7" l="1"/>
  <c r="F41" i="7" s="1"/>
  <c r="E37" i="7" l="1"/>
  <c r="D36" i="7"/>
  <c r="E36" i="7"/>
  <c r="F38" i="7"/>
  <c r="C36" i="7"/>
  <c r="E40" i="7"/>
  <c r="C35" i="7"/>
  <c r="D38" i="7"/>
  <c r="D40" i="7"/>
  <c r="C37" i="7"/>
  <c r="E35" i="7"/>
  <c r="F37" i="7"/>
  <c r="D39" i="7"/>
  <c r="E41" i="7"/>
  <c r="F36" i="7"/>
  <c r="D41" i="7"/>
  <c r="C38" i="7"/>
  <c r="F34" i="7"/>
  <c r="C40" i="7"/>
  <c r="F40" i="7"/>
  <c r="C39" i="7"/>
  <c r="D35" i="7"/>
  <c r="D37" i="7"/>
  <c r="C41" i="7"/>
  <c r="D34" i="7"/>
  <c r="C34" i="7"/>
  <c r="F39" i="7"/>
  <c r="E34" i="7"/>
  <c r="F35" i="7"/>
  <c r="E39" i="7"/>
  <c r="E38" i="7"/>
  <c r="G34" i="7" l="1"/>
  <c r="G35" i="7"/>
  <c r="G37" i="7"/>
  <c r="G38" i="7"/>
  <c r="G36" i="7"/>
  <c r="G39" i="7"/>
  <c r="G40" i="7"/>
  <c r="G41" i="7"/>
  <c r="B43" i="7" l="1"/>
  <c r="AE44" i="7" s="1"/>
  <c r="AE47" i="7" s="1"/>
  <c r="B44" i="7" l="1"/>
  <c r="B47" i="7" s="1"/>
  <c r="I44" i="7"/>
  <c r="I47" i="7" s="1"/>
  <c r="V44" i="7"/>
  <c r="V47" i="7" s="1"/>
  <c r="S44" i="7"/>
  <c r="S47" i="7" s="1"/>
  <c r="F44" i="7"/>
  <c r="F47" i="7" s="1"/>
  <c r="AF44" i="7"/>
  <c r="AF47" i="7" s="1"/>
  <c r="D44" i="7"/>
  <c r="D47" i="7" s="1"/>
  <c r="J44" i="7"/>
  <c r="J47" i="7" s="1"/>
  <c r="AB44" i="7"/>
  <c r="AB47" i="7" s="1"/>
  <c r="AG44" i="7"/>
  <c r="AG47" i="7" s="1"/>
  <c r="C44" i="7"/>
  <c r="C47" i="7" s="1"/>
  <c r="K44" i="7"/>
  <c r="K47" i="7" s="1"/>
  <c r="AA44" i="7"/>
  <c r="AA47" i="7" s="1"/>
  <c r="AC44" i="7"/>
  <c r="AC47" i="7" s="1"/>
  <c r="E44" i="7"/>
  <c r="E47" i="7" s="1"/>
  <c r="H44" i="7"/>
  <c r="H47" i="7" s="1"/>
  <c r="O44" i="7"/>
  <c r="O47" i="7" s="1"/>
  <c r="T44" i="7"/>
  <c r="T47" i="7" s="1"/>
  <c r="P44" i="7"/>
  <c r="P47" i="7" s="1"/>
  <c r="L44" i="7"/>
  <c r="L47" i="7" s="1"/>
  <c r="R44" i="7"/>
  <c r="R47" i="7" s="1"/>
  <c r="N44" i="7"/>
  <c r="N47" i="7" s="1"/>
  <c r="G44" i="7"/>
  <c r="G47" i="7" s="1"/>
  <c r="Y44" i="7"/>
  <c r="Y47" i="7" s="1"/>
  <c r="U44" i="7"/>
  <c r="U47" i="7" s="1"/>
  <c r="AD44" i="7"/>
  <c r="AD47" i="7" s="1"/>
  <c r="Q44" i="7"/>
  <c r="Q47" i="7" s="1"/>
  <c r="W44" i="7"/>
  <c r="W47" i="7" s="1"/>
  <c r="X44" i="7"/>
  <c r="X47" i="7" s="1"/>
  <c r="M44" i="7"/>
  <c r="M47" i="7" s="1"/>
  <c r="Z44" i="7"/>
  <c r="Z47" i="7" s="1"/>
  <c r="AD48" i="7" l="1"/>
  <c r="J48" i="7"/>
  <c r="R48" i="7"/>
  <c r="Z48" i="7"/>
  <c r="F48" i="7"/>
  <c r="B48" i="7"/>
  <c r="N48" i="7"/>
  <c r="V48" i="7"/>
  <c r="B50" i="7" l="1"/>
  <c r="B49" i="7"/>
  <c r="C6" i="8" s="1"/>
  <c r="C10" i="8" l="1"/>
  <c r="E14" i="8"/>
  <c r="C12" i="8"/>
  <c r="F9" i="8"/>
  <c r="G13" i="8"/>
  <c r="F13" i="8"/>
  <c r="D14" i="8"/>
  <c r="G8" i="8"/>
  <c r="E9" i="8"/>
  <c r="G9" i="8"/>
  <c r="L30" i="2"/>
  <c r="X30" i="2" s="1"/>
  <c r="G14" i="8"/>
  <c r="G11" i="8"/>
  <c r="F15" i="8"/>
  <c r="E8" i="8"/>
  <c r="F8" i="8"/>
  <c r="C8" i="8"/>
  <c r="E13" i="8"/>
  <c r="C11" i="8"/>
  <c r="D8" i="8"/>
  <c r="G15" i="8"/>
  <c r="C9" i="8"/>
  <c r="C14" i="8"/>
  <c r="D13" i="8"/>
  <c r="B45" i="9"/>
  <c r="AC46" i="9" s="1"/>
  <c r="H15" i="8"/>
  <c r="H13" i="8"/>
  <c r="H12" i="8"/>
  <c r="F10" i="8"/>
  <c r="H9" i="8"/>
  <c r="F12" i="8"/>
  <c r="D9" i="8"/>
  <c r="D12" i="8"/>
  <c r="H14" i="8"/>
  <c r="H10" i="8"/>
  <c r="C15" i="8"/>
  <c r="E12" i="8"/>
  <c r="D11" i="8"/>
  <c r="D15" i="8"/>
  <c r="H11" i="8"/>
  <c r="G10" i="8"/>
  <c r="F11" i="8"/>
  <c r="F14" i="8"/>
  <c r="G12" i="8"/>
  <c r="C13" i="8"/>
  <c r="E10" i="8"/>
  <c r="E15" i="8"/>
  <c r="D10" i="8"/>
  <c r="E11" i="8"/>
  <c r="H8" i="8"/>
  <c r="N49" i="2" l="1"/>
  <c r="N67" i="2" s="1"/>
  <c r="J46" i="9"/>
  <c r="V46" i="9"/>
  <c r="AE46" i="9"/>
  <c r="AA46" i="9"/>
  <c r="P46" i="9"/>
  <c r="AF46" i="9"/>
  <c r="G46" i="9"/>
  <c r="B46" i="9"/>
  <c r="P49" i="2"/>
  <c r="P67" i="2" s="1"/>
  <c r="Q46" i="9"/>
  <c r="D46" i="9"/>
  <c r="M46" i="9"/>
  <c r="AB46" i="9"/>
  <c r="S46" i="9"/>
  <c r="C46" i="9"/>
  <c r="I46" i="9"/>
  <c r="AD46" i="9"/>
  <c r="I10" i="8"/>
  <c r="I15" i="8"/>
  <c r="I9" i="8"/>
  <c r="I13" i="8"/>
  <c r="I8" i="8"/>
  <c r="F46" i="9"/>
  <c r="U46" i="9"/>
  <c r="E46" i="9"/>
  <c r="H46" i="9"/>
  <c r="R46" i="9"/>
  <c r="T46" i="9"/>
  <c r="Z46" i="9"/>
  <c r="W46" i="9"/>
  <c r="O46" i="9"/>
  <c r="AG46" i="9"/>
  <c r="X46" i="9"/>
  <c r="L46" i="9"/>
  <c r="Y46" i="9"/>
  <c r="K46" i="9"/>
  <c r="N46" i="9"/>
  <c r="O49" i="2"/>
  <c r="O67" i="2" s="1"/>
  <c r="S49" i="2"/>
  <c r="S67" i="2" s="1"/>
  <c r="I12" i="8"/>
  <c r="L49" i="2"/>
  <c r="L67" i="2" s="1"/>
  <c r="R49" i="2"/>
  <c r="R67" i="2" s="1"/>
  <c r="C31" i="2"/>
  <c r="J50" i="2" s="1"/>
  <c r="J68" i="2" s="1"/>
  <c r="M49" i="2"/>
  <c r="M67" i="2" s="1"/>
  <c r="Q49" i="2"/>
  <c r="Q67" i="2" s="1"/>
  <c r="I14" i="8"/>
  <c r="I11" i="8"/>
  <c r="D50" i="2" l="1"/>
  <c r="D68" i="2" s="1"/>
  <c r="H50" i="2"/>
  <c r="H68" i="2" s="1"/>
  <c r="G50" i="2"/>
  <c r="G68" i="2" s="1"/>
  <c r="C50" i="2"/>
  <c r="C68" i="2" s="1"/>
  <c r="E50" i="2"/>
  <c r="E68" i="2" s="1"/>
  <c r="F50" i="2"/>
  <c r="F68" i="2" s="1"/>
  <c r="I50" i="2"/>
  <c r="I68" i="2" s="1"/>
  <c r="B16" i="8"/>
  <c r="AU20" i="8" s="1"/>
  <c r="AU21" i="8" s="1"/>
  <c r="E30" i="8" s="1"/>
  <c r="AW20" i="8" l="1"/>
  <c r="AW21" i="8" s="1"/>
  <c r="G30" i="8" s="1"/>
  <c r="AL20" i="8"/>
  <c r="AL21" i="8" s="1"/>
  <c r="B29" i="8" s="1"/>
  <c r="AH20" i="8"/>
  <c r="AH21" i="8" s="1"/>
  <c r="D28" i="8" s="1"/>
  <c r="AJ20" i="8"/>
  <c r="AJ21" i="8" s="1"/>
  <c r="F28" i="8" s="1"/>
  <c r="AR20" i="8"/>
  <c r="AR21" i="8" s="1"/>
  <c r="B30" i="8" s="1"/>
  <c r="O20" i="8"/>
  <c r="O21" i="8" s="1"/>
  <c r="C25" i="8" s="1"/>
  <c r="E20" i="8"/>
  <c r="E21" i="8" s="1"/>
  <c r="E23" i="8" s="1"/>
  <c r="D20" i="8"/>
  <c r="D21" i="8" s="1"/>
  <c r="D23" i="8" s="1"/>
  <c r="AS20" i="8"/>
  <c r="AS21" i="8" s="1"/>
  <c r="C30" i="8" s="1"/>
  <c r="Q20" i="8"/>
  <c r="Q21" i="8" s="1"/>
  <c r="E25" i="8" s="1"/>
  <c r="AG20" i="8"/>
  <c r="AG21" i="8" s="1"/>
  <c r="C28" i="8" s="1"/>
  <c r="AC20" i="8"/>
  <c r="AC21" i="8" s="1"/>
  <c r="E27" i="8" s="1"/>
  <c r="T20" i="8"/>
  <c r="T21" i="8" s="1"/>
  <c r="B26" i="8" s="1"/>
  <c r="AE20" i="8"/>
  <c r="AE21" i="8" s="1"/>
  <c r="G27" i="8" s="1"/>
  <c r="X20" i="8"/>
  <c r="X21" i="8" s="1"/>
  <c r="F26" i="8" s="1"/>
  <c r="AQ20" i="8"/>
  <c r="AQ21" i="8" s="1"/>
  <c r="G29" i="8" s="1"/>
  <c r="V20" i="8"/>
  <c r="V21" i="8" s="1"/>
  <c r="D26" i="8" s="1"/>
  <c r="S20" i="8"/>
  <c r="S21" i="8" s="1"/>
  <c r="G25" i="8" s="1"/>
  <c r="AT20" i="8"/>
  <c r="AT21" i="8" s="1"/>
  <c r="D30" i="8" s="1"/>
  <c r="C20" i="8"/>
  <c r="C21" i="8" s="1"/>
  <c r="C23" i="8" s="1"/>
  <c r="R20" i="8"/>
  <c r="R21" i="8" s="1"/>
  <c r="F25" i="8" s="1"/>
  <c r="N20" i="8"/>
  <c r="N21" i="8" s="1"/>
  <c r="B25" i="8" s="1"/>
  <c r="F20" i="8"/>
  <c r="F21" i="8" s="1"/>
  <c r="F23" i="8" s="1"/>
  <c r="AD20" i="8"/>
  <c r="AD21" i="8" s="1"/>
  <c r="F27" i="8" s="1"/>
  <c r="AF20" i="8"/>
  <c r="AF21" i="8" s="1"/>
  <c r="B28" i="8" s="1"/>
  <c r="AV20" i="8"/>
  <c r="AV21" i="8" s="1"/>
  <c r="F30" i="8" s="1"/>
  <c r="L20" i="8"/>
  <c r="L21" i="8" s="1"/>
  <c r="F24" i="8" s="1"/>
  <c r="H20" i="8"/>
  <c r="H21" i="8" s="1"/>
  <c r="B24" i="8" s="1"/>
  <c r="Y20" i="8"/>
  <c r="Y21" i="8" s="1"/>
  <c r="G26" i="8" s="1"/>
  <c r="U20" i="8"/>
  <c r="U21" i="8" s="1"/>
  <c r="C26" i="8" s="1"/>
  <c r="AO20" i="8"/>
  <c r="AO21" i="8" s="1"/>
  <c r="E29" i="8" s="1"/>
  <c r="G20" i="8"/>
  <c r="G21" i="8" s="1"/>
  <c r="G23" i="8" s="1"/>
  <c r="AP20" i="8"/>
  <c r="AP21" i="8" s="1"/>
  <c r="F29" i="8" s="1"/>
  <c r="J20" i="8"/>
  <c r="J21" i="8" s="1"/>
  <c r="D24" i="8" s="1"/>
  <c r="AI20" i="8"/>
  <c r="AI21" i="8" s="1"/>
  <c r="E28" i="8" s="1"/>
  <c r="AM20" i="8"/>
  <c r="AM21" i="8" s="1"/>
  <c r="C29" i="8" s="1"/>
  <c r="W20" i="8"/>
  <c r="W21" i="8" s="1"/>
  <c r="E26" i="8" s="1"/>
  <c r="AB20" i="8"/>
  <c r="AB21" i="8" s="1"/>
  <c r="D27" i="8" s="1"/>
  <c r="AA20" i="8"/>
  <c r="AA21" i="8" s="1"/>
  <c r="C27" i="8" s="1"/>
  <c r="B20" i="8"/>
  <c r="B21" i="8" s="1"/>
  <c r="B23" i="8" s="1"/>
  <c r="I20" i="8"/>
  <c r="I21" i="8" s="1"/>
  <c r="C24" i="8" s="1"/>
  <c r="K20" i="8"/>
  <c r="K21" i="8" s="1"/>
  <c r="E24" i="8" s="1"/>
  <c r="AK20" i="8"/>
  <c r="AK21" i="8" s="1"/>
  <c r="G28" i="8" s="1"/>
  <c r="AN20" i="8"/>
  <c r="AN21" i="8" s="1"/>
  <c r="D29" i="8" s="1"/>
  <c r="P20" i="8"/>
  <c r="P21" i="8" s="1"/>
  <c r="D25" i="8" s="1"/>
  <c r="M20" i="8"/>
  <c r="M21" i="8" s="1"/>
  <c r="G24" i="8" s="1"/>
  <c r="Z20" i="8"/>
  <c r="Z21" i="8" s="1"/>
  <c r="B27" i="8" s="1"/>
  <c r="H25" i="8" l="1"/>
  <c r="J25" i="8" s="1"/>
  <c r="H30" i="8"/>
  <c r="J30" i="8" s="1"/>
  <c r="H23" i="8"/>
  <c r="J23" i="8" s="1"/>
  <c r="H28" i="8"/>
  <c r="J28" i="8" s="1"/>
  <c r="I25" i="8"/>
  <c r="K25" i="8" s="1"/>
  <c r="H24" i="8"/>
  <c r="J24" i="8" s="1"/>
  <c r="H27" i="8"/>
  <c r="J27" i="8" s="1"/>
  <c r="I27" i="8"/>
  <c r="K27" i="8" s="1"/>
  <c r="I28" i="8"/>
  <c r="K28" i="8" s="1"/>
  <c r="I29" i="8"/>
  <c r="K29" i="8" s="1"/>
  <c r="I24" i="8"/>
  <c r="K24" i="8" s="1"/>
  <c r="I23" i="8"/>
  <c r="K23" i="8" s="1"/>
  <c r="H26" i="8"/>
  <c r="J26" i="8" s="1"/>
  <c r="I26" i="8"/>
  <c r="K26" i="8" s="1"/>
  <c r="H29" i="8"/>
  <c r="J29" i="8" s="1"/>
  <c r="I30" i="8"/>
  <c r="K30" i="8" s="1"/>
  <c r="L25" i="8" l="1"/>
  <c r="M25" i="8" s="1"/>
  <c r="L23" i="8"/>
  <c r="M23" i="8" s="1"/>
  <c r="L30" i="8"/>
  <c r="M30" i="8" s="1"/>
  <c r="L28" i="8"/>
  <c r="M28" i="8" s="1"/>
  <c r="L27" i="8"/>
  <c r="M27" i="8" s="1"/>
  <c r="L24" i="8"/>
  <c r="M24" i="8" s="1"/>
  <c r="L26" i="8"/>
  <c r="M26" i="8" s="1"/>
  <c r="L29" i="8"/>
  <c r="M29" i="8" s="1"/>
  <c r="B31" i="8" l="1"/>
  <c r="C41" i="8" s="1"/>
  <c r="F36" i="8" l="1"/>
  <c r="D37" i="8"/>
  <c r="E37" i="8"/>
  <c r="F35" i="8"/>
  <c r="C34" i="8"/>
  <c r="D36" i="8"/>
  <c r="F39" i="8"/>
  <c r="E39" i="8"/>
  <c r="D41" i="8"/>
  <c r="C36" i="8"/>
  <c r="E36" i="8"/>
  <c r="E38" i="8"/>
  <c r="C37" i="8"/>
  <c r="C39" i="8"/>
  <c r="E41" i="8"/>
  <c r="E34" i="8"/>
  <c r="F37" i="8"/>
  <c r="D34" i="8"/>
  <c r="C40" i="8"/>
  <c r="F38" i="8"/>
  <c r="D39" i="8"/>
  <c r="D38" i="8"/>
  <c r="F40" i="8"/>
  <c r="C35" i="8"/>
  <c r="C38" i="8"/>
  <c r="D40" i="8"/>
  <c r="F34" i="8"/>
  <c r="E40" i="8"/>
  <c r="F41" i="8"/>
  <c r="D35" i="8"/>
  <c r="E35" i="8"/>
  <c r="G34" i="8" l="1"/>
  <c r="G36" i="8"/>
  <c r="G37" i="8"/>
  <c r="G41" i="8"/>
  <c r="G39" i="8"/>
  <c r="G38" i="8"/>
  <c r="G40" i="8"/>
  <c r="G35" i="8"/>
  <c r="B43" i="8" l="1"/>
  <c r="F44" i="8" s="1"/>
  <c r="F47" i="8" s="1"/>
  <c r="AD44" i="8" l="1"/>
  <c r="AD47" i="8" s="1"/>
  <c r="R44" i="8"/>
  <c r="R47" i="8" s="1"/>
  <c r="B44" i="8"/>
  <c r="B47" i="8" s="1"/>
  <c r="Z44" i="8"/>
  <c r="Z47" i="8" s="1"/>
  <c r="AF44" i="8"/>
  <c r="AF47" i="8" s="1"/>
  <c r="J44" i="8"/>
  <c r="J47" i="8" s="1"/>
  <c r="G44" i="8"/>
  <c r="G47" i="8" s="1"/>
  <c r="AE44" i="8"/>
  <c r="AE47" i="8" s="1"/>
  <c r="Y44" i="8"/>
  <c r="Y47" i="8" s="1"/>
  <c r="AB44" i="8"/>
  <c r="AB47" i="8" s="1"/>
  <c r="K44" i="8"/>
  <c r="K47" i="8" s="1"/>
  <c r="D44" i="8"/>
  <c r="D47" i="8" s="1"/>
  <c r="AC44" i="8"/>
  <c r="AC47" i="8" s="1"/>
  <c r="P44" i="8"/>
  <c r="P47" i="8" s="1"/>
  <c r="W44" i="8"/>
  <c r="W47" i="8" s="1"/>
  <c r="X44" i="8"/>
  <c r="X47" i="8" s="1"/>
  <c r="N44" i="8"/>
  <c r="N47" i="8" s="1"/>
  <c r="I44" i="8"/>
  <c r="I47" i="8" s="1"/>
  <c r="O44" i="8"/>
  <c r="O47" i="8" s="1"/>
  <c r="E44" i="8"/>
  <c r="E47" i="8" s="1"/>
  <c r="AA44" i="8"/>
  <c r="AA47" i="8" s="1"/>
  <c r="U44" i="8"/>
  <c r="U47" i="8" s="1"/>
  <c r="H44" i="8"/>
  <c r="H47" i="8" s="1"/>
  <c r="L44" i="8"/>
  <c r="L47" i="8" s="1"/>
  <c r="Q44" i="8"/>
  <c r="Q47" i="8" s="1"/>
  <c r="V44" i="8"/>
  <c r="V47" i="8" s="1"/>
  <c r="C44" i="8"/>
  <c r="C47" i="8" s="1"/>
  <c r="AG44" i="8"/>
  <c r="AG47" i="8" s="1"/>
  <c r="T44" i="8"/>
  <c r="T47" i="8" s="1"/>
  <c r="M44" i="8"/>
  <c r="M47" i="8" s="1"/>
  <c r="S44" i="8"/>
  <c r="S47" i="8" s="1"/>
  <c r="R48" i="8" l="1"/>
  <c r="F48" i="8"/>
  <c r="V48" i="8"/>
  <c r="Z48" i="8"/>
  <c r="N48" i="8"/>
  <c r="B48" i="8"/>
  <c r="J48" i="8"/>
  <c r="AD48" i="8"/>
  <c r="B50" i="8" l="1"/>
  <c r="B49" i="8"/>
  <c r="L31" i="2" s="1"/>
  <c r="X31" i="2" s="1"/>
  <c r="M50" i="2" l="1"/>
  <c r="M68" i="2" s="1"/>
  <c r="S50" i="2"/>
  <c r="S68" i="2" s="1"/>
  <c r="Q50" i="2"/>
  <c r="Q68" i="2" s="1"/>
  <c r="C6" i="9"/>
  <c r="C14" i="9" s="1"/>
  <c r="P50" i="2"/>
  <c r="P68" i="2" s="1"/>
  <c r="C32" i="2"/>
  <c r="I51" i="2" s="1"/>
  <c r="I69" i="2" s="1"/>
  <c r="L50" i="2"/>
  <c r="L68" i="2" s="1"/>
  <c r="R50" i="2"/>
  <c r="R68" i="2" s="1"/>
  <c r="N50" i="2"/>
  <c r="N68" i="2" s="1"/>
  <c r="O50" i="2"/>
  <c r="O68" i="2" s="1"/>
  <c r="G51" i="2" l="1"/>
  <c r="G69" i="2" s="1"/>
  <c r="H51" i="2"/>
  <c r="H69" i="2" s="1"/>
  <c r="E9" i="9"/>
  <c r="C9" i="9"/>
  <c r="B45" i="10"/>
  <c r="AA46" i="10" s="1"/>
  <c r="C12" i="9"/>
  <c r="H12" i="9"/>
  <c r="E14" i="9"/>
  <c r="F10" i="9"/>
  <c r="F13" i="9"/>
  <c r="F11" i="9"/>
  <c r="F14" i="9"/>
  <c r="D8" i="9"/>
  <c r="G14" i="9"/>
  <c r="D10" i="9"/>
  <c r="H15" i="9"/>
  <c r="E15" i="9"/>
  <c r="H13" i="9"/>
  <c r="D9" i="9"/>
  <c r="G10" i="9"/>
  <c r="G15" i="9"/>
  <c r="C10" i="9"/>
  <c r="F8" i="9"/>
  <c r="E11" i="9"/>
  <c r="H10" i="9"/>
  <c r="G11" i="9"/>
  <c r="H8" i="9"/>
  <c r="G8" i="9"/>
  <c r="D13" i="9"/>
  <c r="D12" i="9"/>
  <c r="E8" i="9"/>
  <c r="H11" i="9"/>
  <c r="F9" i="9"/>
  <c r="F12" i="9"/>
  <c r="C15" i="9"/>
  <c r="F15" i="9"/>
  <c r="C13" i="9"/>
  <c r="G9" i="9"/>
  <c r="D11" i="9"/>
  <c r="C11" i="9"/>
  <c r="E13" i="9"/>
  <c r="G12" i="9"/>
  <c r="C8" i="9"/>
  <c r="D51" i="2"/>
  <c r="D69" i="2" s="1"/>
  <c r="J51" i="2"/>
  <c r="J69" i="2" s="1"/>
  <c r="F51" i="2"/>
  <c r="F69" i="2" s="1"/>
  <c r="H14" i="9"/>
  <c r="E12" i="9"/>
  <c r="D15" i="9"/>
  <c r="G13" i="9"/>
  <c r="D14" i="9"/>
  <c r="E10" i="9"/>
  <c r="E51" i="2"/>
  <c r="E69" i="2" s="1"/>
  <c r="H9" i="9"/>
  <c r="C51" i="2"/>
  <c r="C69" i="2" s="1"/>
  <c r="J46" i="10" l="1"/>
  <c r="AD46" i="10"/>
  <c r="AE46" i="10"/>
  <c r="Z46" i="10"/>
  <c r="C46" i="10"/>
  <c r="L46" i="10"/>
  <c r="AB46" i="10"/>
  <c r="I13" i="9"/>
  <c r="G46" i="10"/>
  <c r="R46" i="10"/>
  <c r="AG46" i="10"/>
  <c r="X46" i="10"/>
  <c r="S46" i="10"/>
  <c r="P46" i="10"/>
  <c r="Y46" i="10"/>
  <c r="W46" i="10"/>
  <c r="V46" i="10"/>
  <c r="I15" i="9"/>
  <c r="T46" i="10"/>
  <c r="AF46" i="10"/>
  <c r="F46" i="10"/>
  <c r="I46" i="10"/>
  <c r="N46" i="10"/>
  <c r="U46" i="10"/>
  <c r="K46" i="10"/>
  <c r="H46" i="10"/>
  <c r="I12" i="9"/>
  <c r="I8" i="9"/>
  <c r="M46" i="10"/>
  <c r="D46" i="10"/>
  <c r="AC46" i="10"/>
  <c r="Q46" i="10"/>
  <c r="B46" i="10"/>
  <c r="O46" i="10"/>
  <c r="E46" i="10"/>
  <c r="I9" i="9"/>
  <c r="I14" i="9"/>
  <c r="I10" i="9"/>
  <c r="I11" i="9"/>
  <c r="B16" i="9" l="1"/>
  <c r="AB20" i="9" s="1"/>
  <c r="AB21" i="9" s="1"/>
  <c r="D27" i="9" s="1"/>
  <c r="S20" i="9" l="1"/>
  <c r="S21" i="9" s="1"/>
  <c r="G25" i="9" s="1"/>
  <c r="N20" i="9"/>
  <c r="N21" i="9" s="1"/>
  <c r="B25" i="9" s="1"/>
  <c r="AS20" i="9"/>
  <c r="AS21" i="9" s="1"/>
  <c r="C30" i="9" s="1"/>
  <c r="G20" i="9"/>
  <c r="G21" i="9" s="1"/>
  <c r="G23" i="9" s="1"/>
  <c r="T20" i="9"/>
  <c r="T21" i="9" s="1"/>
  <c r="B26" i="9" s="1"/>
  <c r="AE20" i="9"/>
  <c r="AE21" i="9" s="1"/>
  <c r="G27" i="9" s="1"/>
  <c r="AD20" i="9"/>
  <c r="AD21" i="9" s="1"/>
  <c r="F27" i="9" s="1"/>
  <c r="AN20" i="9"/>
  <c r="AN21" i="9" s="1"/>
  <c r="D29" i="9" s="1"/>
  <c r="V20" i="9"/>
  <c r="V21" i="9" s="1"/>
  <c r="D26" i="9" s="1"/>
  <c r="P20" i="9"/>
  <c r="P21" i="9" s="1"/>
  <c r="D25" i="9" s="1"/>
  <c r="Q20" i="9"/>
  <c r="Q21" i="9" s="1"/>
  <c r="E25" i="9" s="1"/>
  <c r="C20" i="9"/>
  <c r="C21" i="9" s="1"/>
  <c r="C23" i="9" s="1"/>
  <c r="AL20" i="9"/>
  <c r="AL21" i="9" s="1"/>
  <c r="B29" i="9" s="1"/>
  <c r="AA20" i="9"/>
  <c r="AA21" i="9" s="1"/>
  <c r="C27" i="9" s="1"/>
  <c r="AJ20" i="9"/>
  <c r="AJ21" i="9" s="1"/>
  <c r="F28" i="9" s="1"/>
  <c r="AP20" i="9"/>
  <c r="AP21" i="9" s="1"/>
  <c r="F29" i="9" s="1"/>
  <c r="U20" i="9"/>
  <c r="U21" i="9" s="1"/>
  <c r="C26" i="9" s="1"/>
  <c r="M20" i="9"/>
  <c r="M21" i="9" s="1"/>
  <c r="G24" i="9" s="1"/>
  <c r="Y20" i="9"/>
  <c r="Y21" i="9" s="1"/>
  <c r="G26" i="9" s="1"/>
  <c r="AM20" i="9"/>
  <c r="AM21" i="9" s="1"/>
  <c r="C29" i="9" s="1"/>
  <c r="K20" i="9"/>
  <c r="K21" i="9" s="1"/>
  <c r="E24" i="9" s="1"/>
  <c r="AH20" i="9"/>
  <c r="AH21" i="9" s="1"/>
  <c r="D28" i="9" s="1"/>
  <c r="AG20" i="9"/>
  <c r="AG21" i="9" s="1"/>
  <c r="C28" i="9" s="1"/>
  <c r="AO20" i="9"/>
  <c r="AO21" i="9" s="1"/>
  <c r="E29" i="9" s="1"/>
  <c r="B20" i="9"/>
  <c r="B21" i="9" s="1"/>
  <c r="B23" i="9" s="1"/>
  <c r="AT20" i="9"/>
  <c r="AT21" i="9" s="1"/>
  <c r="D30" i="9" s="1"/>
  <c r="I20" i="9"/>
  <c r="I21" i="9" s="1"/>
  <c r="C24" i="9" s="1"/>
  <c r="AV20" i="9"/>
  <c r="AV21" i="9" s="1"/>
  <c r="F30" i="9" s="1"/>
  <c r="AI20" i="9"/>
  <c r="AI21" i="9" s="1"/>
  <c r="E28" i="9" s="1"/>
  <c r="D20" i="9"/>
  <c r="D21" i="9" s="1"/>
  <c r="D23" i="9" s="1"/>
  <c r="AC20" i="9"/>
  <c r="AC21" i="9" s="1"/>
  <c r="E27" i="9" s="1"/>
  <c r="W20" i="9"/>
  <c r="W21" i="9" s="1"/>
  <c r="E26" i="9" s="1"/>
  <c r="R20" i="9"/>
  <c r="R21" i="9" s="1"/>
  <c r="F25" i="9" s="1"/>
  <c r="H20" i="9"/>
  <c r="H21" i="9" s="1"/>
  <c r="B24" i="9" s="1"/>
  <c r="H24" i="9" s="1"/>
  <c r="J24" i="9" s="1"/>
  <c r="AW20" i="9"/>
  <c r="AW21" i="9" s="1"/>
  <c r="G30" i="9" s="1"/>
  <c r="AR20" i="9"/>
  <c r="AR21" i="9" s="1"/>
  <c r="B30" i="9" s="1"/>
  <c r="L20" i="9"/>
  <c r="L21" i="9" s="1"/>
  <c r="F24" i="9" s="1"/>
  <c r="AU20" i="9"/>
  <c r="AU21" i="9" s="1"/>
  <c r="E30" i="9" s="1"/>
  <c r="AF20" i="9"/>
  <c r="AF21" i="9" s="1"/>
  <c r="B28" i="9" s="1"/>
  <c r="Z20" i="9"/>
  <c r="Z21" i="9" s="1"/>
  <c r="B27" i="9" s="1"/>
  <c r="O20" i="9"/>
  <c r="O21" i="9" s="1"/>
  <c r="C25" i="9" s="1"/>
  <c r="X20" i="9"/>
  <c r="X21" i="9" s="1"/>
  <c r="F26" i="9" s="1"/>
  <c r="AQ20" i="9"/>
  <c r="AQ21" i="9" s="1"/>
  <c r="G29" i="9" s="1"/>
  <c r="AK20" i="9"/>
  <c r="AK21" i="9" s="1"/>
  <c r="G28" i="9" s="1"/>
  <c r="J20" i="9"/>
  <c r="J21" i="9" s="1"/>
  <c r="D24" i="9" s="1"/>
  <c r="E20" i="9"/>
  <c r="E21" i="9" s="1"/>
  <c r="E23" i="9" s="1"/>
  <c r="F20" i="9"/>
  <c r="F21" i="9" s="1"/>
  <c r="F23" i="9" s="1"/>
  <c r="I27" i="9" l="1"/>
  <c r="K27" i="9" s="1"/>
  <c r="H29" i="9"/>
  <c r="J29" i="9" s="1"/>
  <c r="H25" i="9"/>
  <c r="J25" i="9" s="1"/>
  <c r="H26" i="9"/>
  <c r="J26" i="9" s="1"/>
  <c r="H30" i="9"/>
  <c r="J30" i="9" s="1"/>
  <c r="I28" i="9"/>
  <c r="K28" i="9" s="1"/>
  <c r="I25" i="9"/>
  <c r="K25" i="9" s="1"/>
  <c r="H28" i="9"/>
  <c r="J28" i="9" s="1"/>
  <c r="H27" i="9"/>
  <c r="J27" i="9" s="1"/>
  <c r="L27" i="9" s="1"/>
  <c r="M27" i="9" s="1"/>
  <c r="I26" i="9"/>
  <c r="K26" i="9" s="1"/>
  <c r="I30" i="9"/>
  <c r="K30" i="9" s="1"/>
  <c r="I23" i="9"/>
  <c r="K23" i="9" s="1"/>
  <c r="H23" i="9"/>
  <c r="J23" i="9" s="1"/>
  <c r="I29" i="9"/>
  <c r="K29" i="9" s="1"/>
  <c r="I24" i="9"/>
  <c r="K24" i="9" s="1"/>
  <c r="L24" i="9" s="1"/>
  <c r="M24" i="9" s="1"/>
  <c r="L25" i="9" l="1"/>
  <c r="M25" i="9" s="1"/>
  <c r="L29" i="9"/>
  <c r="M29" i="9" s="1"/>
  <c r="L30" i="9"/>
  <c r="M30" i="9" s="1"/>
  <c r="L26" i="9"/>
  <c r="M26" i="9" s="1"/>
  <c r="L23" i="9"/>
  <c r="M23" i="9" s="1"/>
  <c r="L28" i="9"/>
  <c r="M28" i="9" s="1"/>
  <c r="B31" i="9" l="1"/>
  <c r="E36" i="9" s="1"/>
  <c r="C37" i="9" l="1"/>
  <c r="F34" i="9"/>
  <c r="D34" i="9"/>
  <c r="D39" i="9"/>
  <c r="E34" i="9"/>
  <c r="E41" i="9"/>
  <c r="F37" i="9"/>
  <c r="C36" i="9"/>
  <c r="E38" i="9"/>
  <c r="E35" i="9"/>
  <c r="F38" i="9"/>
  <c r="C40" i="9"/>
  <c r="D41" i="9"/>
  <c r="E37" i="9"/>
  <c r="F41" i="9"/>
  <c r="F36" i="9"/>
  <c r="C41" i="9"/>
  <c r="F35" i="9"/>
  <c r="C39" i="9"/>
  <c r="D40" i="9"/>
  <c r="D35" i="9"/>
  <c r="E39" i="9"/>
  <c r="F40" i="9"/>
  <c r="D38" i="9"/>
  <c r="F39" i="9"/>
  <c r="D37" i="9"/>
  <c r="E40" i="9"/>
  <c r="D36" i="9"/>
  <c r="C38" i="9"/>
  <c r="C34" i="9"/>
  <c r="C35" i="9"/>
  <c r="G36" i="9" l="1"/>
  <c r="G40" i="9"/>
  <c r="G35" i="9"/>
  <c r="G41" i="9"/>
  <c r="G39" i="9"/>
  <c r="G34" i="9"/>
  <c r="G37" i="9"/>
  <c r="G38" i="9"/>
  <c r="B43" i="9" l="1"/>
  <c r="R44" i="9" s="1"/>
  <c r="R47" i="9" s="1"/>
  <c r="AG44" i="9" l="1"/>
  <c r="AG47" i="9" s="1"/>
  <c r="AD44" i="9"/>
  <c r="AD47" i="9" s="1"/>
  <c r="P44" i="9"/>
  <c r="P47" i="9" s="1"/>
  <c r="AC44" i="9"/>
  <c r="AC47" i="9" s="1"/>
  <c r="S44" i="9"/>
  <c r="S47" i="9" s="1"/>
  <c r="Y44" i="9"/>
  <c r="Y47" i="9" s="1"/>
  <c r="V44" i="9"/>
  <c r="V47" i="9" s="1"/>
  <c r="H44" i="9"/>
  <c r="H47" i="9" s="1"/>
  <c r="I44" i="9"/>
  <c r="I47" i="9" s="1"/>
  <c r="B44" i="9"/>
  <c r="B47" i="9" s="1"/>
  <c r="K44" i="9"/>
  <c r="K47" i="9" s="1"/>
  <c r="Q44" i="9"/>
  <c r="Q47" i="9" s="1"/>
  <c r="U44" i="9"/>
  <c r="U47" i="9" s="1"/>
  <c r="AB44" i="9"/>
  <c r="AB47" i="9" s="1"/>
  <c r="AE44" i="9"/>
  <c r="AE47" i="9" s="1"/>
  <c r="G44" i="9"/>
  <c r="G47" i="9" s="1"/>
  <c r="F44" i="9"/>
  <c r="F47" i="9" s="1"/>
  <c r="T44" i="9"/>
  <c r="T47" i="9" s="1"/>
  <c r="M44" i="9"/>
  <c r="M47" i="9" s="1"/>
  <c r="AA44" i="9"/>
  <c r="AA47" i="9" s="1"/>
  <c r="J44" i="9"/>
  <c r="J47" i="9" s="1"/>
  <c r="N44" i="9"/>
  <c r="N47" i="9" s="1"/>
  <c r="O44" i="9"/>
  <c r="O47" i="9" s="1"/>
  <c r="Z44" i="9"/>
  <c r="Z47" i="9" s="1"/>
  <c r="AF44" i="9"/>
  <c r="AF47" i="9" s="1"/>
  <c r="E44" i="9"/>
  <c r="E47" i="9" s="1"/>
  <c r="L44" i="9"/>
  <c r="L47" i="9" s="1"/>
  <c r="X44" i="9"/>
  <c r="X47" i="9" s="1"/>
  <c r="W44" i="9"/>
  <c r="W47" i="9" s="1"/>
  <c r="D44" i="9"/>
  <c r="D47" i="9" s="1"/>
  <c r="C44" i="9"/>
  <c r="C47" i="9" s="1"/>
  <c r="B48" i="9" l="1"/>
  <c r="Z48" i="9"/>
  <c r="V48" i="9"/>
  <c r="AD48" i="9"/>
  <c r="R48" i="9"/>
  <c r="N48" i="9"/>
  <c r="J48" i="9"/>
  <c r="F48" i="9"/>
  <c r="B50" i="9" l="1"/>
  <c r="B49" i="9"/>
  <c r="L32" i="2" s="1"/>
  <c r="N51" i="2" s="1"/>
  <c r="N69" i="2" s="1"/>
  <c r="X32" i="2" l="1"/>
  <c r="M51" i="2"/>
  <c r="M69" i="2" s="1"/>
  <c r="C6" i="10"/>
  <c r="H15" i="10" s="1"/>
  <c r="L51" i="2"/>
  <c r="L69" i="2" s="1"/>
  <c r="O51" i="2"/>
  <c r="O69" i="2" s="1"/>
  <c r="C33" i="2"/>
  <c r="D52" i="2" s="1"/>
  <c r="D70" i="2" s="1"/>
  <c r="Q51" i="2"/>
  <c r="Q69" i="2" s="1"/>
  <c r="S51" i="2"/>
  <c r="S69" i="2" s="1"/>
  <c r="R51" i="2"/>
  <c r="R69" i="2" s="1"/>
  <c r="P51" i="2"/>
  <c r="P69" i="2" s="1"/>
  <c r="I52" i="2" l="1"/>
  <c r="I70" i="2" s="1"/>
  <c r="H52" i="2"/>
  <c r="H70" i="2" s="1"/>
  <c r="E13" i="10"/>
  <c r="D15" i="10"/>
  <c r="F12" i="10"/>
  <c r="G9" i="10"/>
  <c r="D11" i="10"/>
  <c r="D14" i="10"/>
  <c r="F8" i="10"/>
  <c r="H12" i="10"/>
  <c r="C10" i="10"/>
  <c r="H9" i="10"/>
  <c r="C8" i="10"/>
  <c r="H8" i="10"/>
  <c r="B45" i="11"/>
  <c r="AE46" i="11" s="1"/>
  <c r="C9" i="10"/>
  <c r="D10" i="10"/>
  <c r="E11" i="10"/>
  <c r="F14" i="10"/>
  <c r="G8" i="10"/>
  <c r="D13" i="10"/>
  <c r="C14" i="10"/>
  <c r="E8" i="10"/>
  <c r="F13" i="10"/>
  <c r="F11" i="10"/>
  <c r="F10" i="10"/>
  <c r="C11" i="10"/>
  <c r="E15" i="10"/>
  <c r="G12" i="10"/>
  <c r="C15" i="10"/>
  <c r="E10" i="10"/>
  <c r="H11" i="10"/>
  <c r="H10" i="10"/>
  <c r="G52" i="2"/>
  <c r="G70" i="2" s="1"/>
  <c r="C12" i="10"/>
  <c r="D9" i="10"/>
  <c r="C13" i="10"/>
  <c r="H13" i="10"/>
  <c r="F15" i="10"/>
  <c r="E14" i="10"/>
  <c r="E12" i="10"/>
  <c r="J52" i="2"/>
  <c r="J70" i="2" s="1"/>
  <c r="G10" i="10"/>
  <c r="G13" i="10"/>
  <c r="G11" i="10"/>
  <c r="F52" i="2"/>
  <c r="F70" i="2" s="1"/>
  <c r="D12" i="10"/>
  <c r="C52" i="2"/>
  <c r="C70" i="2" s="1"/>
  <c r="D8" i="10"/>
  <c r="H14" i="10"/>
  <c r="F9" i="10"/>
  <c r="G15" i="10"/>
  <c r="E9" i="10"/>
  <c r="G14" i="10"/>
  <c r="E52" i="2"/>
  <c r="E70" i="2" s="1"/>
  <c r="C46" i="11" l="1"/>
  <c r="E46" i="11"/>
  <c r="V46" i="11"/>
  <c r="W46" i="11"/>
  <c r="G46" i="11"/>
  <c r="O46" i="11"/>
  <c r="M46" i="11"/>
  <c r="R46" i="11"/>
  <c r="B46" i="11"/>
  <c r="F46" i="11"/>
  <c r="S46" i="11"/>
  <c r="AD46" i="11"/>
  <c r="I13" i="10"/>
  <c r="I12" i="10"/>
  <c r="I8" i="10"/>
  <c r="AG46" i="11"/>
  <c r="N46" i="11"/>
  <c r="H46" i="11"/>
  <c r="L46" i="11"/>
  <c r="I10" i="10"/>
  <c r="I14" i="10"/>
  <c r="P46" i="11"/>
  <c r="U46" i="11"/>
  <c r="I15" i="10"/>
  <c r="I9" i="10"/>
  <c r="I11" i="10"/>
  <c r="Y46" i="11"/>
  <c r="T46" i="11"/>
  <c r="Z46" i="11"/>
  <c r="AC46" i="11"/>
  <c r="Q46" i="11"/>
  <c r="AB46" i="11"/>
  <c r="AF46" i="11"/>
  <c r="AA46" i="11"/>
  <c r="K46" i="11"/>
  <c r="X46" i="11"/>
  <c r="J46" i="11"/>
  <c r="D46" i="11"/>
  <c r="I46" i="11"/>
  <c r="B16" i="10" l="1"/>
  <c r="AD20" i="10" s="1"/>
  <c r="AD21" i="10" s="1"/>
  <c r="F27" i="10" s="1"/>
  <c r="AT20" i="10" l="1"/>
  <c r="AT21" i="10" s="1"/>
  <c r="D30" i="10" s="1"/>
  <c r="M20" i="10"/>
  <c r="M21" i="10" s="1"/>
  <c r="G24" i="10" s="1"/>
  <c r="H20" i="10"/>
  <c r="H21" i="10" s="1"/>
  <c r="B24" i="10" s="1"/>
  <c r="V20" i="10"/>
  <c r="V21" i="10" s="1"/>
  <c r="D26" i="10" s="1"/>
  <c r="S20" i="10"/>
  <c r="S21" i="10" s="1"/>
  <c r="G25" i="10" s="1"/>
  <c r="I20" i="10"/>
  <c r="I21" i="10" s="1"/>
  <c r="C24" i="10" s="1"/>
  <c r="R20" i="10"/>
  <c r="R21" i="10" s="1"/>
  <c r="F25" i="10" s="1"/>
  <c r="AQ20" i="10"/>
  <c r="AQ21" i="10" s="1"/>
  <c r="G29" i="10" s="1"/>
  <c r="AU20" i="10"/>
  <c r="AU21" i="10" s="1"/>
  <c r="E30" i="10" s="1"/>
  <c r="AC20" i="10"/>
  <c r="AC21" i="10" s="1"/>
  <c r="E27" i="10" s="1"/>
  <c r="AS20" i="10"/>
  <c r="AS21" i="10" s="1"/>
  <c r="C30" i="10" s="1"/>
  <c r="AW20" i="10"/>
  <c r="AW21" i="10" s="1"/>
  <c r="G30" i="10" s="1"/>
  <c r="AI20" i="10"/>
  <c r="AI21" i="10" s="1"/>
  <c r="E28" i="10" s="1"/>
  <c r="AL20" i="10"/>
  <c r="AL21" i="10" s="1"/>
  <c r="B29" i="10" s="1"/>
  <c r="U20" i="10"/>
  <c r="U21" i="10" s="1"/>
  <c r="C26" i="10" s="1"/>
  <c r="AH20" i="10"/>
  <c r="AH21" i="10" s="1"/>
  <c r="D28" i="10" s="1"/>
  <c r="AF20" i="10"/>
  <c r="AF21" i="10" s="1"/>
  <c r="B28" i="10" s="1"/>
  <c r="Y20" i="10"/>
  <c r="Y21" i="10" s="1"/>
  <c r="G26" i="10" s="1"/>
  <c r="X20" i="10"/>
  <c r="X21" i="10" s="1"/>
  <c r="F26" i="10" s="1"/>
  <c r="N20" i="10"/>
  <c r="N21" i="10" s="1"/>
  <c r="B25" i="10" s="1"/>
  <c r="AA20" i="10"/>
  <c r="AA21" i="10" s="1"/>
  <c r="C27" i="10" s="1"/>
  <c r="K20" i="10"/>
  <c r="K21" i="10" s="1"/>
  <c r="E24" i="10" s="1"/>
  <c r="AB20" i="10"/>
  <c r="AB21" i="10" s="1"/>
  <c r="D27" i="10" s="1"/>
  <c r="AM20" i="10"/>
  <c r="AM21" i="10" s="1"/>
  <c r="C29" i="10" s="1"/>
  <c r="AK20" i="10"/>
  <c r="AK21" i="10" s="1"/>
  <c r="G28" i="10" s="1"/>
  <c r="J20" i="10"/>
  <c r="J21" i="10" s="1"/>
  <c r="D24" i="10" s="1"/>
  <c r="C20" i="10"/>
  <c r="C21" i="10" s="1"/>
  <c r="C23" i="10" s="1"/>
  <c r="AR20" i="10"/>
  <c r="AR21" i="10" s="1"/>
  <c r="B30" i="10" s="1"/>
  <c r="AN20" i="10"/>
  <c r="AN21" i="10" s="1"/>
  <c r="D29" i="10" s="1"/>
  <c r="Z20" i="10"/>
  <c r="Z21" i="10" s="1"/>
  <c r="B27" i="10" s="1"/>
  <c r="L20" i="10"/>
  <c r="L21" i="10" s="1"/>
  <c r="F24" i="10" s="1"/>
  <c r="AJ20" i="10"/>
  <c r="AJ21" i="10" s="1"/>
  <c r="F28" i="10" s="1"/>
  <c r="G20" i="10"/>
  <c r="G21" i="10" s="1"/>
  <c r="G23" i="10" s="1"/>
  <c r="B20" i="10"/>
  <c r="B21" i="10" s="1"/>
  <c r="B23" i="10" s="1"/>
  <c r="W20" i="10"/>
  <c r="W21" i="10" s="1"/>
  <c r="E26" i="10" s="1"/>
  <c r="F20" i="10"/>
  <c r="F21" i="10" s="1"/>
  <c r="F23" i="10" s="1"/>
  <c r="P20" i="10"/>
  <c r="P21" i="10" s="1"/>
  <c r="D25" i="10" s="1"/>
  <c r="Q20" i="10"/>
  <c r="Q21" i="10" s="1"/>
  <c r="E25" i="10" s="1"/>
  <c r="E20" i="10"/>
  <c r="E21" i="10" s="1"/>
  <c r="E23" i="10" s="1"/>
  <c r="D20" i="10"/>
  <c r="D21" i="10" s="1"/>
  <c r="D23" i="10" s="1"/>
  <c r="T20" i="10"/>
  <c r="T21" i="10" s="1"/>
  <c r="B26" i="10" s="1"/>
  <c r="O20" i="10"/>
  <c r="O21" i="10" s="1"/>
  <c r="C25" i="10" s="1"/>
  <c r="AP20" i="10"/>
  <c r="AP21" i="10" s="1"/>
  <c r="F29" i="10" s="1"/>
  <c r="AO20" i="10"/>
  <c r="AO21" i="10" s="1"/>
  <c r="E29" i="10" s="1"/>
  <c r="AV20" i="10"/>
  <c r="AV21" i="10" s="1"/>
  <c r="F30" i="10" s="1"/>
  <c r="AG20" i="10"/>
  <c r="AG21" i="10" s="1"/>
  <c r="C28" i="10" s="1"/>
  <c r="AE20" i="10"/>
  <c r="AE21" i="10" s="1"/>
  <c r="G27" i="10" s="1"/>
  <c r="H30" i="10" l="1"/>
  <c r="J30" i="10" s="1"/>
  <c r="H28" i="10"/>
  <c r="J28" i="10" s="1"/>
  <c r="I30" i="10"/>
  <c r="K30" i="10" s="1"/>
  <c r="L30" i="10" s="1"/>
  <c r="M30" i="10" s="1"/>
  <c r="H24" i="10"/>
  <c r="J24" i="10" s="1"/>
  <c r="H29" i="10"/>
  <c r="J29" i="10" s="1"/>
  <c r="H26" i="10"/>
  <c r="J26" i="10" s="1"/>
  <c r="H25" i="10"/>
  <c r="J25" i="10" s="1"/>
  <c r="I26" i="10"/>
  <c r="K26" i="10" s="1"/>
  <c r="I25" i="10"/>
  <c r="K25" i="10" s="1"/>
  <c r="H23" i="10"/>
  <c r="J23" i="10" s="1"/>
  <c r="I27" i="10"/>
  <c r="K27" i="10" s="1"/>
  <c r="H27" i="10"/>
  <c r="J27" i="10" s="1"/>
  <c r="I23" i="10"/>
  <c r="K23" i="10" s="1"/>
  <c r="I24" i="10"/>
  <c r="K24" i="10" s="1"/>
  <c r="I28" i="10"/>
  <c r="K28" i="10" s="1"/>
  <c r="I29" i="10"/>
  <c r="K29" i="10" s="1"/>
  <c r="L28" i="10" l="1"/>
  <c r="M28" i="10" s="1"/>
  <c r="L24" i="10"/>
  <c r="M24" i="10" s="1"/>
  <c r="L26" i="10"/>
  <c r="M26" i="10" s="1"/>
  <c r="L25" i="10"/>
  <c r="M25" i="10" s="1"/>
  <c r="L29" i="10"/>
  <c r="M29" i="10" s="1"/>
  <c r="L23" i="10"/>
  <c r="M23" i="10" s="1"/>
  <c r="L27" i="10"/>
  <c r="M27" i="10" s="1"/>
  <c r="B31" i="10" l="1"/>
  <c r="D38" i="10" s="1"/>
  <c r="E36" i="10" l="1"/>
  <c r="F35" i="10"/>
  <c r="C36" i="10"/>
  <c r="F38" i="10"/>
  <c r="D41" i="10"/>
  <c r="E35" i="10"/>
  <c r="C39" i="10"/>
  <c r="D40" i="10"/>
  <c r="D34" i="10"/>
  <c r="D37" i="10"/>
  <c r="E38" i="10"/>
  <c r="D39" i="10"/>
  <c r="F39" i="10"/>
  <c r="C34" i="10"/>
  <c r="D36" i="10"/>
  <c r="E40" i="10"/>
  <c r="C38" i="10"/>
  <c r="F36" i="10"/>
  <c r="F34" i="10"/>
  <c r="F37" i="10"/>
  <c r="C35" i="10"/>
  <c r="F41" i="10"/>
  <c r="E37" i="10"/>
  <c r="C41" i="10"/>
  <c r="C40" i="10"/>
  <c r="E39" i="10"/>
  <c r="E34" i="10"/>
  <c r="D35" i="10"/>
  <c r="E41" i="10"/>
  <c r="C37" i="10"/>
  <c r="F40" i="10"/>
  <c r="G36" i="10" l="1"/>
  <c r="G37" i="10"/>
  <c r="G39" i="10"/>
  <c r="G41" i="10"/>
  <c r="G34" i="10"/>
  <c r="G40" i="10"/>
  <c r="G38" i="10"/>
  <c r="G35" i="10"/>
  <c r="B43" i="10" l="1"/>
  <c r="X44" i="10" s="1"/>
  <c r="X47" i="10" s="1"/>
  <c r="H44" i="10" l="1"/>
  <c r="H47" i="10" s="1"/>
  <c r="W44" i="10"/>
  <c r="W47" i="10" s="1"/>
  <c r="V44" i="10"/>
  <c r="V47" i="10" s="1"/>
  <c r="G44" i="10"/>
  <c r="G47" i="10" s="1"/>
  <c r="L44" i="10"/>
  <c r="L47" i="10" s="1"/>
  <c r="O44" i="10"/>
  <c r="O47" i="10" s="1"/>
  <c r="F44" i="10"/>
  <c r="F47" i="10" s="1"/>
  <c r="P44" i="10"/>
  <c r="P47" i="10" s="1"/>
  <c r="Z44" i="10"/>
  <c r="Z47" i="10" s="1"/>
  <c r="I44" i="10"/>
  <c r="I47" i="10" s="1"/>
  <c r="AF44" i="10"/>
  <c r="AF47" i="10" s="1"/>
  <c r="R44" i="10"/>
  <c r="R47" i="10" s="1"/>
  <c r="M44" i="10"/>
  <c r="M47" i="10" s="1"/>
  <c r="J44" i="10"/>
  <c r="J47" i="10" s="1"/>
  <c r="K44" i="10"/>
  <c r="K47" i="10" s="1"/>
  <c r="D44" i="10"/>
  <c r="D47" i="10" s="1"/>
  <c r="T44" i="10"/>
  <c r="T47" i="10" s="1"/>
  <c r="N44" i="10"/>
  <c r="N47" i="10" s="1"/>
  <c r="S44" i="10"/>
  <c r="S47" i="10" s="1"/>
  <c r="AA44" i="10"/>
  <c r="AA47" i="10" s="1"/>
  <c r="AE44" i="10"/>
  <c r="AE47" i="10" s="1"/>
  <c r="C44" i="10"/>
  <c r="C47" i="10" s="1"/>
  <c r="AB44" i="10"/>
  <c r="AB47" i="10" s="1"/>
  <c r="B44" i="10"/>
  <c r="B47" i="10" s="1"/>
  <c r="AC44" i="10"/>
  <c r="AC47" i="10" s="1"/>
  <c r="AD44" i="10"/>
  <c r="AD47" i="10" s="1"/>
  <c r="U44" i="10"/>
  <c r="U47" i="10" s="1"/>
  <c r="E44" i="10"/>
  <c r="E47" i="10" s="1"/>
  <c r="Y44" i="10"/>
  <c r="Y47" i="10" s="1"/>
  <c r="AG44" i="10"/>
  <c r="AG47" i="10" s="1"/>
  <c r="Q44" i="10"/>
  <c r="Q47" i="10" s="1"/>
  <c r="B48" i="10" l="1"/>
  <c r="V48" i="10"/>
  <c r="Z48" i="10"/>
  <c r="R48" i="10"/>
  <c r="J48" i="10"/>
  <c r="F48" i="10"/>
  <c r="AD48" i="10"/>
  <c r="N48" i="10"/>
  <c r="B50" i="10" l="1"/>
  <c r="B49" i="10"/>
  <c r="C6" i="11" s="1"/>
  <c r="L33" i="2" l="1"/>
  <c r="M52" i="2" s="1"/>
  <c r="M70" i="2" s="1"/>
  <c r="F12" i="11"/>
  <c r="E13" i="11"/>
  <c r="C12" i="11"/>
  <c r="F11" i="11"/>
  <c r="C9" i="11"/>
  <c r="G12" i="11"/>
  <c r="E12" i="11"/>
  <c r="D11" i="11"/>
  <c r="H9" i="11"/>
  <c r="E8" i="11"/>
  <c r="C13" i="11"/>
  <c r="H8" i="11"/>
  <c r="E9" i="11"/>
  <c r="B45" i="12"/>
  <c r="C11" i="11"/>
  <c r="C10" i="11"/>
  <c r="F15" i="11"/>
  <c r="C15" i="11"/>
  <c r="C8" i="11"/>
  <c r="G15" i="11"/>
  <c r="E10" i="11"/>
  <c r="G13" i="11"/>
  <c r="D10" i="11"/>
  <c r="D9" i="11"/>
  <c r="D8" i="11"/>
  <c r="F10" i="11"/>
  <c r="F14" i="11"/>
  <c r="E11" i="11"/>
  <c r="H15" i="11"/>
  <c r="D15" i="11"/>
  <c r="G8" i="11"/>
  <c r="F8" i="11"/>
  <c r="H12" i="11"/>
  <c r="D14" i="11"/>
  <c r="H13" i="11"/>
  <c r="F13" i="11"/>
  <c r="F9" i="11"/>
  <c r="G11" i="11"/>
  <c r="D13" i="11"/>
  <c r="G9" i="11"/>
  <c r="H14" i="11"/>
  <c r="G14" i="11"/>
  <c r="E14" i="11"/>
  <c r="C14" i="11"/>
  <c r="H10" i="11"/>
  <c r="D12" i="11"/>
  <c r="H11" i="11"/>
  <c r="E15" i="11"/>
  <c r="G10" i="11"/>
  <c r="C34" i="2" l="1"/>
  <c r="D53" i="2" s="1"/>
  <c r="D71" i="2" s="1"/>
  <c r="P52" i="2"/>
  <c r="P70" i="2" s="1"/>
  <c r="S52" i="2"/>
  <c r="S70" i="2" s="1"/>
  <c r="X33" i="2"/>
  <c r="O52" i="2"/>
  <c r="O70" i="2" s="1"/>
  <c r="N52" i="2"/>
  <c r="N70" i="2" s="1"/>
  <c r="Q52" i="2"/>
  <c r="Q70" i="2" s="1"/>
  <c r="L52" i="2"/>
  <c r="L70" i="2" s="1"/>
  <c r="R52" i="2"/>
  <c r="R70" i="2" s="1"/>
  <c r="I12" i="11"/>
  <c r="I14" i="11"/>
  <c r="I15" i="11"/>
  <c r="Z46" i="12"/>
  <c r="P46" i="12"/>
  <c r="N46" i="12"/>
  <c r="D46" i="12"/>
  <c r="AC46" i="12"/>
  <c r="S46" i="12"/>
  <c r="K46" i="12"/>
  <c r="W46" i="12"/>
  <c r="J46" i="12"/>
  <c r="C46" i="12"/>
  <c r="AF46" i="12"/>
  <c r="L46" i="12"/>
  <c r="B46" i="12"/>
  <c r="H46" i="12"/>
  <c r="O46" i="12"/>
  <c r="U46" i="12"/>
  <c r="M46" i="12"/>
  <c r="X46" i="12"/>
  <c r="Y46" i="12"/>
  <c r="T46" i="12"/>
  <c r="R46" i="12"/>
  <c r="I46" i="12"/>
  <c r="AA46" i="12"/>
  <c r="AE46" i="12"/>
  <c r="E46" i="12"/>
  <c r="V46" i="12"/>
  <c r="G46" i="12"/>
  <c r="Q46" i="12"/>
  <c r="AB46" i="12"/>
  <c r="AG46" i="12"/>
  <c r="F46" i="12"/>
  <c r="AD46" i="12"/>
  <c r="I10" i="11"/>
  <c r="I9" i="11"/>
  <c r="E53" i="2"/>
  <c r="E71" i="2" s="1"/>
  <c r="I53" i="2"/>
  <c r="I71" i="2" s="1"/>
  <c r="I11" i="11"/>
  <c r="I13" i="11"/>
  <c r="I8" i="11"/>
  <c r="H53" i="2" l="1"/>
  <c r="H71" i="2" s="1"/>
  <c r="C53" i="2"/>
  <c r="C71" i="2" s="1"/>
  <c r="G53" i="2"/>
  <c r="G71" i="2" s="1"/>
  <c r="J53" i="2"/>
  <c r="J71" i="2" s="1"/>
  <c r="F53" i="2"/>
  <c r="F71" i="2" s="1"/>
  <c r="B16" i="11"/>
  <c r="E20" i="11" l="1"/>
  <c r="E21" i="11" s="1"/>
  <c r="E23" i="11" s="1"/>
  <c r="AE20" i="11"/>
  <c r="AE21" i="11" s="1"/>
  <c r="G27" i="11" s="1"/>
  <c r="D20" i="11"/>
  <c r="D21" i="11" s="1"/>
  <c r="D23" i="11" s="1"/>
  <c r="AV20" i="11"/>
  <c r="AV21" i="11" s="1"/>
  <c r="F30" i="11" s="1"/>
  <c r="AO20" i="11"/>
  <c r="AO21" i="11" s="1"/>
  <c r="E29" i="11" s="1"/>
  <c r="V20" i="11"/>
  <c r="V21" i="11" s="1"/>
  <c r="D26" i="11" s="1"/>
  <c r="S20" i="11"/>
  <c r="S21" i="11" s="1"/>
  <c r="G25" i="11" s="1"/>
  <c r="AG20" i="11"/>
  <c r="AG21" i="11" s="1"/>
  <c r="C28" i="11" s="1"/>
  <c r="B20" i="11"/>
  <c r="B21" i="11" s="1"/>
  <c r="B23" i="11" s="1"/>
  <c r="T20" i="11"/>
  <c r="T21" i="11" s="1"/>
  <c r="B26" i="11" s="1"/>
  <c r="AH20" i="11"/>
  <c r="AH21" i="11" s="1"/>
  <c r="D28" i="11" s="1"/>
  <c r="AA20" i="11"/>
  <c r="AA21" i="11" s="1"/>
  <c r="C27" i="11" s="1"/>
  <c r="AU20" i="11"/>
  <c r="AU21" i="11" s="1"/>
  <c r="E30" i="11" s="1"/>
  <c r="Z20" i="11"/>
  <c r="Z21" i="11" s="1"/>
  <c r="B27" i="11" s="1"/>
  <c r="M20" i="11"/>
  <c r="M21" i="11" s="1"/>
  <c r="G24" i="11" s="1"/>
  <c r="K20" i="11"/>
  <c r="K21" i="11" s="1"/>
  <c r="E24" i="11" s="1"/>
  <c r="AW20" i="11"/>
  <c r="AW21" i="11" s="1"/>
  <c r="G30" i="11" s="1"/>
  <c r="AI20" i="11"/>
  <c r="AI21" i="11" s="1"/>
  <c r="E28" i="11" s="1"/>
  <c r="I20" i="11"/>
  <c r="I21" i="11" s="1"/>
  <c r="C24" i="11" s="1"/>
  <c r="AK20" i="11"/>
  <c r="AK21" i="11" s="1"/>
  <c r="G28" i="11" s="1"/>
  <c r="AB20" i="11"/>
  <c r="AB21" i="11" s="1"/>
  <c r="D27" i="11" s="1"/>
  <c r="AP20" i="11"/>
  <c r="AP21" i="11" s="1"/>
  <c r="F29" i="11" s="1"/>
  <c r="O20" i="11"/>
  <c r="O21" i="11" s="1"/>
  <c r="C25" i="11" s="1"/>
  <c r="H20" i="11"/>
  <c r="H21" i="11" s="1"/>
  <c r="B24" i="11" s="1"/>
  <c r="Q20" i="11"/>
  <c r="Q21" i="11" s="1"/>
  <c r="E25" i="11" s="1"/>
  <c r="AL20" i="11"/>
  <c r="AL21" i="11" s="1"/>
  <c r="B29" i="11" s="1"/>
  <c r="G20" i="11"/>
  <c r="G21" i="11" s="1"/>
  <c r="G23" i="11" s="1"/>
  <c r="P20" i="11"/>
  <c r="P21" i="11" s="1"/>
  <c r="D25" i="11" s="1"/>
  <c r="AM20" i="11"/>
  <c r="AM21" i="11" s="1"/>
  <c r="C29" i="11" s="1"/>
  <c r="AF20" i="11"/>
  <c r="AF21" i="11" s="1"/>
  <c r="B28" i="11" s="1"/>
  <c r="AR20" i="11"/>
  <c r="AR21" i="11" s="1"/>
  <c r="B30" i="11" s="1"/>
  <c r="AJ20" i="11"/>
  <c r="AJ21" i="11" s="1"/>
  <c r="F28" i="11" s="1"/>
  <c r="N20" i="11"/>
  <c r="N21" i="11" s="1"/>
  <c r="B25" i="11" s="1"/>
  <c r="AN20" i="11"/>
  <c r="AN21" i="11" s="1"/>
  <c r="D29" i="11" s="1"/>
  <c r="AQ20" i="11"/>
  <c r="AQ21" i="11" s="1"/>
  <c r="G29" i="11" s="1"/>
  <c r="U20" i="11"/>
  <c r="U21" i="11" s="1"/>
  <c r="C26" i="11" s="1"/>
  <c r="J20" i="11"/>
  <c r="J21" i="11" s="1"/>
  <c r="D24" i="11" s="1"/>
  <c r="AT20" i="11"/>
  <c r="AT21" i="11" s="1"/>
  <c r="D30" i="11" s="1"/>
  <c r="F20" i="11"/>
  <c r="F21" i="11" s="1"/>
  <c r="F23" i="11" s="1"/>
  <c r="AD20" i="11"/>
  <c r="AD21" i="11" s="1"/>
  <c r="F27" i="11" s="1"/>
  <c r="R20" i="11"/>
  <c r="R21" i="11" s="1"/>
  <c r="F25" i="11" s="1"/>
  <c r="W20" i="11"/>
  <c r="W21" i="11" s="1"/>
  <c r="E26" i="11" s="1"/>
  <c r="L20" i="11"/>
  <c r="L21" i="11" s="1"/>
  <c r="F24" i="11" s="1"/>
  <c r="AS20" i="11"/>
  <c r="AS21" i="11" s="1"/>
  <c r="C30" i="11" s="1"/>
  <c r="AC20" i="11"/>
  <c r="AC21" i="11" s="1"/>
  <c r="E27" i="11" s="1"/>
  <c r="C20" i="11"/>
  <c r="C21" i="11" s="1"/>
  <c r="C23" i="11" s="1"/>
  <c r="X20" i="11"/>
  <c r="X21" i="11" s="1"/>
  <c r="F26" i="11" s="1"/>
  <c r="Y20" i="11"/>
  <c r="Y21" i="11" s="1"/>
  <c r="G26" i="11" s="1"/>
  <c r="H27" i="11" l="1"/>
  <c r="J27" i="11" s="1"/>
  <c r="H30" i="11"/>
  <c r="J30" i="11" s="1"/>
  <c r="I23" i="11"/>
  <c r="K23" i="11" s="1"/>
  <c r="H29" i="11"/>
  <c r="J29" i="11" s="1"/>
  <c r="I30" i="11"/>
  <c r="K30" i="11" s="1"/>
  <c r="H28" i="11"/>
  <c r="J28" i="11" s="1"/>
  <c r="I27" i="11"/>
  <c r="K27" i="11" s="1"/>
  <c r="I28" i="11"/>
  <c r="K28" i="11" s="1"/>
  <c r="I26" i="11"/>
  <c r="K26" i="11" s="1"/>
  <c r="I25" i="11"/>
  <c r="K25" i="11" s="1"/>
  <c r="I24" i="11"/>
  <c r="K24" i="11" s="1"/>
  <c r="H24" i="11"/>
  <c r="J24" i="11" s="1"/>
  <c r="H25" i="11"/>
  <c r="J25" i="11" s="1"/>
  <c r="H26" i="11"/>
  <c r="J26" i="11" s="1"/>
  <c r="H23" i="11"/>
  <c r="J23" i="11" s="1"/>
  <c r="I29" i="11"/>
  <c r="K29" i="11" s="1"/>
  <c r="L27" i="11" l="1"/>
  <c r="M27" i="11" s="1"/>
  <c r="L30" i="11"/>
  <c r="M30" i="11" s="1"/>
  <c r="L23" i="11"/>
  <c r="M23" i="11" s="1"/>
  <c r="L29" i="11"/>
  <c r="M29" i="11" s="1"/>
  <c r="L26" i="11"/>
  <c r="M26" i="11" s="1"/>
  <c r="L24" i="11"/>
  <c r="M24" i="11" s="1"/>
  <c r="L28" i="11"/>
  <c r="M28" i="11" s="1"/>
  <c r="L25" i="11"/>
  <c r="M25" i="11" s="1"/>
  <c r="B31" i="11" l="1"/>
  <c r="E35" i="11" s="1"/>
  <c r="F34" i="11" l="1"/>
  <c r="C37" i="11"/>
  <c r="C34" i="11"/>
  <c r="D35" i="11"/>
  <c r="F37" i="11"/>
  <c r="D34" i="11"/>
  <c r="D38" i="11"/>
  <c r="C36" i="11"/>
  <c r="C41" i="11"/>
  <c r="F40" i="11"/>
  <c r="F39" i="11"/>
  <c r="E37" i="11"/>
  <c r="F35" i="11"/>
  <c r="C35" i="11"/>
  <c r="E40" i="11"/>
  <c r="F41" i="11"/>
  <c r="E34" i="11"/>
  <c r="C40" i="11"/>
  <c r="C38" i="11"/>
  <c r="D41" i="11"/>
  <c r="F38" i="11"/>
  <c r="D40" i="11"/>
  <c r="E38" i="11"/>
  <c r="F36" i="11"/>
  <c r="D37" i="11"/>
  <c r="E41" i="11"/>
  <c r="E39" i="11"/>
  <c r="D39" i="11"/>
  <c r="C39" i="11"/>
  <c r="E36" i="11"/>
  <c r="D36" i="11"/>
  <c r="G34" i="11" l="1"/>
  <c r="G36" i="11"/>
  <c r="G41" i="11"/>
  <c r="G35" i="11"/>
  <c r="G40" i="11"/>
  <c r="G39" i="11"/>
  <c r="G37" i="11"/>
  <c r="G38" i="11"/>
  <c r="B43" i="11" l="1"/>
  <c r="AF44" i="11" s="1"/>
  <c r="AF47" i="11" s="1"/>
  <c r="H44" i="11" l="1"/>
  <c r="H47" i="11" s="1"/>
  <c r="E44" i="11"/>
  <c r="E47" i="11" s="1"/>
  <c r="AC44" i="11"/>
  <c r="AC47" i="11" s="1"/>
  <c r="T44" i="11"/>
  <c r="T47" i="11" s="1"/>
  <c r="D44" i="11"/>
  <c r="D47" i="11" s="1"/>
  <c r="P44" i="11"/>
  <c r="P47" i="11" s="1"/>
  <c r="B44" i="11"/>
  <c r="B47" i="11" s="1"/>
  <c r="Z44" i="11"/>
  <c r="Z47" i="11" s="1"/>
  <c r="J44" i="11"/>
  <c r="J47" i="11" s="1"/>
  <c r="V44" i="11"/>
  <c r="V47" i="11" s="1"/>
  <c r="R44" i="11"/>
  <c r="R47" i="11" s="1"/>
  <c r="K44" i="11"/>
  <c r="K47" i="11" s="1"/>
  <c r="L44" i="11"/>
  <c r="L47" i="11" s="1"/>
  <c r="AE44" i="11"/>
  <c r="AE47" i="11" s="1"/>
  <c r="W44" i="11"/>
  <c r="W47" i="11" s="1"/>
  <c r="AA44" i="11"/>
  <c r="AA47" i="11" s="1"/>
  <c r="X44" i="11"/>
  <c r="X47" i="11" s="1"/>
  <c r="M44" i="11"/>
  <c r="M47" i="11" s="1"/>
  <c r="O44" i="11"/>
  <c r="O47" i="11" s="1"/>
  <c r="AG44" i="11"/>
  <c r="AG47" i="11" s="1"/>
  <c r="U44" i="11"/>
  <c r="U47" i="11" s="1"/>
  <c r="C44" i="11"/>
  <c r="C47" i="11" s="1"/>
  <c r="I44" i="11"/>
  <c r="I47" i="11" s="1"/>
  <c r="AD44" i="11"/>
  <c r="AD47" i="11" s="1"/>
  <c r="F44" i="11"/>
  <c r="F47" i="11" s="1"/>
  <c r="G44" i="11"/>
  <c r="G47" i="11" s="1"/>
  <c r="Q44" i="11"/>
  <c r="Q47" i="11" s="1"/>
  <c r="Y44" i="11"/>
  <c r="Y47" i="11" s="1"/>
  <c r="AB44" i="11"/>
  <c r="AB47" i="11" s="1"/>
  <c r="S44" i="11"/>
  <c r="S47" i="11" s="1"/>
  <c r="N44" i="11"/>
  <c r="N47" i="11" s="1"/>
  <c r="R48" i="11" l="1"/>
  <c r="B48" i="11"/>
  <c r="V48" i="11"/>
  <c r="F48" i="11"/>
  <c r="J48" i="11"/>
  <c r="AD48" i="11"/>
  <c r="Z48" i="11"/>
  <c r="N48" i="11"/>
  <c r="B50" i="11" l="1"/>
  <c r="B49" i="11"/>
  <c r="C6" i="12" s="1"/>
  <c r="L34" i="2" l="1"/>
  <c r="O53" i="2" s="1"/>
  <c r="O71" i="2" s="1"/>
  <c r="F8" i="12"/>
  <c r="C8" i="12"/>
  <c r="E8" i="12"/>
  <c r="C12" i="12"/>
  <c r="H10" i="12"/>
  <c r="G10" i="12"/>
  <c r="C9" i="12"/>
  <c r="B45" i="13"/>
  <c r="AF46" i="13" s="1"/>
  <c r="H11" i="12"/>
  <c r="H15" i="12"/>
  <c r="G11" i="12"/>
  <c r="E12" i="12"/>
  <c r="D10" i="12"/>
  <c r="C10" i="12"/>
  <c r="D13" i="12"/>
  <c r="G8" i="12"/>
  <c r="F11" i="12"/>
  <c r="E9" i="12"/>
  <c r="E15" i="12"/>
  <c r="H13" i="12"/>
  <c r="F9" i="12"/>
  <c r="H8" i="12"/>
  <c r="H14" i="12"/>
  <c r="H9" i="12"/>
  <c r="E13" i="12"/>
  <c r="D9" i="12"/>
  <c r="E11" i="12"/>
  <c r="E14" i="12"/>
  <c r="D14" i="12"/>
  <c r="G13" i="12"/>
  <c r="F13" i="12"/>
  <c r="F12" i="12"/>
  <c r="D15" i="12"/>
  <c r="G15" i="12"/>
  <c r="E10" i="12"/>
  <c r="D11" i="12"/>
  <c r="C11" i="12"/>
  <c r="F10" i="12"/>
  <c r="G12" i="12"/>
  <c r="F14" i="12"/>
  <c r="G14" i="12"/>
  <c r="C15" i="12"/>
  <c r="C14" i="12"/>
  <c r="H12" i="12"/>
  <c r="C13" i="12"/>
  <c r="D8" i="12"/>
  <c r="G9" i="12"/>
  <c r="F15" i="12"/>
  <c r="D12" i="12"/>
  <c r="C35" i="2"/>
  <c r="D54" i="2" s="1"/>
  <c r="D72" i="2" s="1"/>
  <c r="Q53" i="2"/>
  <c r="Q71" i="2" s="1"/>
  <c r="S53" i="2" l="1"/>
  <c r="S71" i="2" s="1"/>
  <c r="L53" i="2"/>
  <c r="L71" i="2" s="1"/>
  <c r="X34" i="2"/>
  <c r="M53" i="2"/>
  <c r="M71" i="2" s="1"/>
  <c r="R53" i="2"/>
  <c r="R71" i="2" s="1"/>
  <c r="N53" i="2"/>
  <c r="N71" i="2" s="1"/>
  <c r="P53" i="2"/>
  <c r="P71" i="2" s="1"/>
  <c r="I9" i="12"/>
  <c r="I10" i="12"/>
  <c r="P46" i="13"/>
  <c r="AB46" i="13"/>
  <c r="H54" i="2"/>
  <c r="H72" i="2" s="1"/>
  <c r="I8" i="12"/>
  <c r="Z46" i="13"/>
  <c r="G46" i="13"/>
  <c r="C46" i="13"/>
  <c r="O46" i="13"/>
  <c r="F54" i="2"/>
  <c r="F72" i="2" s="1"/>
  <c r="AC46" i="13"/>
  <c r="AD46" i="13"/>
  <c r="C54" i="2"/>
  <c r="C72" i="2" s="1"/>
  <c r="E54" i="2"/>
  <c r="E72" i="2" s="1"/>
  <c r="Q46" i="13"/>
  <c r="Y46" i="13"/>
  <c r="F46" i="13"/>
  <c r="D46" i="13"/>
  <c r="T46" i="13"/>
  <c r="V46" i="13"/>
  <c r="X46" i="13"/>
  <c r="U46" i="13"/>
  <c r="J54" i="2"/>
  <c r="J72" i="2" s="1"/>
  <c r="N46" i="13"/>
  <c r="R46" i="13"/>
  <c r="M46" i="13"/>
  <c r="I46" i="13"/>
  <c r="AA46" i="13"/>
  <c r="AE46" i="13"/>
  <c r="W46" i="13"/>
  <c r="L46" i="13"/>
  <c r="I12" i="12"/>
  <c r="I13" i="12"/>
  <c r="I11" i="12"/>
  <c r="I15" i="12"/>
  <c r="I14" i="12"/>
  <c r="I54" i="2"/>
  <c r="I72" i="2" s="1"/>
  <c r="G54" i="2"/>
  <c r="G72" i="2" s="1"/>
  <c r="AG46" i="13"/>
  <c r="B46" i="13"/>
  <c r="K46" i="13"/>
  <c r="H46" i="13"/>
  <c r="J46" i="13"/>
  <c r="E46" i="13"/>
  <c r="S46" i="13"/>
  <c r="B16" i="12" l="1"/>
  <c r="AR20" i="12" s="1"/>
  <c r="AR21" i="12" s="1"/>
  <c r="B30" i="12" s="1"/>
  <c r="L20" i="12" l="1"/>
  <c r="L21" i="12" s="1"/>
  <c r="F24" i="12" s="1"/>
  <c r="S20" i="12"/>
  <c r="S21" i="12" s="1"/>
  <c r="G25" i="12" s="1"/>
  <c r="N20" i="12"/>
  <c r="N21" i="12" s="1"/>
  <c r="B25" i="12" s="1"/>
  <c r="I20" i="12"/>
  <c r="I21" i="12" s="1"/>
  <c r="C24" i="12" s="1"/>
  <c r="T20" i="12"/>
  <c r="T21" i="12" s="1"/>
  <c r="B26" i="12" s="1"/>
  <c r="Y20" i="12"/>
  <c r="Y21" i="12" s="1"/>
  <c r="G26" i="12" s="1"/>
  <c r="AB20" i="12"/>
  <c r="AB21" i="12" s="1"/>
  <c r="D27" i="12" s="1"/>
  <c r="O20" i="12"/>
  <c r="O21" i="12" s="1"/>
  <c r="C25" i="12" s="1"/>
  <c r="AQ20" i="12"/>
  <c r="AQ21" i="12" s="1"/>
  <c r="G29" i="12" s="1"/>
  <c r="AP20" i="12"/>
  <c r="AP21" i="12" s="1"/>
  <c r="F29" i="12" s="1"/>
  <c r="C20" i="12"/>
  <c r="C21" i="12" s="1"/>
  <c r="C23" i="12" s="1"/>
  <c r="AD20" i="12"/>
  <c r="AD21" i="12" s="1"/>
  <c r="F27" i="12" s="1"/>
  <c r="AT20" i="12"/>
  <c r="AT21" i="12" s="1"/>
  <c r="D30" i="12" s="1"/>
  <c r="V20" i="12"/>
  <c r="V21" i="12" s="1"/>
  <c r="D26" i="12" s="1"/>
  <c r="AJ20" i="12"/>
  <c r="AJ21" i="12" s="1"/>
  <c r="F28" i="12" s="1"/>
  <c r="P20" i="12"/>
  <c r="P21" i="12" s="1"/>
  <c r="D25" i="12" s="1"/>
  <c r="F20" i="12"/>
  <c r="F21" i="12" s="1"/>
  <c r="F23" i="12" s="1"/>
  <c r="R20" i="12"/>
  <c r="R21" i="12" s="1"/>
  <c r="F25" i="12" s="1"/>
  <c r="G20" i="12"/>
  <c r="G21" i="12" s="1"/>
  <c r="G23" i="12" s="1"/>
  <c r="AI20" i="12"/>
  <c r="AI21" i="12" s="1"/>
  <c r="E28" i="12" s="1"/>
  <c r="AU20" i="12"/>
  <c r="AU21" i="12" s="1"/>
  <c r="E30" i="12" s="1"/>
  <c r="H20" i="12"/>
  <c r="H21" i="12" s="1"/>
  <c r="B24" i="12" s="1"/>
  <c r="AO20" i="12"/>
  <c r="AO21" i="12" s="1"/>
  <c r="E29" i="12" s="1"/>
  <c r="AA20" i="12"/>
  <c r="AA21" i="12" s="1"/>
  <c r="C27" i="12" s="1"/>
  <c r="U20" i="12"/>
  <c r="U21" i="12" s="1"/>
  <c r="C26" i="12" s="1"/>
  <c r="AV20" i="12"/>
  <c r="AV21" i="12" s="1"/>
  <c r="F30" i="12" s="1"/>
  <c r="AH20" i="12"/>
  <c r="AH21" i="12" s="1"/>
  <c r="D28" i="12" s="1"/>
  <c r="AE20" i="12"/>
  <c r="AE21" i="12" s="1"/>
  <c r="G27" i="12" s="1"/>
  <c r="W20" i="12"/>
  <c r="W21" i="12" s="1"/>
  <c r="E26" i="12" s="1"/>
  <c r="D20" i="12"/>
  <c r="D21" i="12" s="1"/>
  <c r="D23" i="12" s="1"/>
  <c r="E20" i="12"/>
  <c r="E21" i="12" s="1"/>
  <c r="E23" i="12" s="1"/>
  <c r="AF20" i="12"/>
  <c r="AF21" i="12" s="1"/>
  <c r="B28" i="12" s="1"/>
  <c r="X20" i="12"/>
  <c r="X21" i="12" s="1"/>
  <c r="F26" i="12" s="1"/>
  <c r="J20" i="12"/>
  <c r="J21" i="12" s="1"/>
  <c r="D24" i="12" s="1"/>
  <c r="B20" i="12"/>
  <c r="B21" i="12" s="1"/>
  <c r="B23" i="12" s="1"/>
  <c r="AN20" i="12"/>
  <c r="AN21" i="12" s="1"/>
  <c r="D29" i="12" s="1"/>
  <c r="AW20" i="12"/>
  <c r="AW21" i="12" s="1"/>
  <c r="G30" i="12" s="1"/>
  <c r="H30" i="12" s="1"/>
  <c r="J30" i="12" s="1"/>
  <c r="K20" i="12"/>
  <c r="K21" i="12" s="1"/>
  <c r="E24" i="12" s="1"/>
  <c r="Q20" i="12"/>
  <c r="Q21" i="12" s="1"/>
  <c r="E25" i="12" s="1"/>
  <c r="AM20" i="12"/>
  <c r="AM21" i="12" s="1"/>
  <c r="C29" i="12" s="1"/>
  <c r="AS20" i="12"/>
  <c r="AS21" i="12" s="1"/>
  <c r="C30" i="12" s="1"/>
  <c r="AK20" i="12"/>
  <c r="AK21" i="12" s="1"/>
  <c r="G28" i="12" s="1"/>
  <c r="AL20" i="12"/>
  <c r="AL21" i="12" s="1"/>
  <c r="B29" i="12" s="1"/>
  <c r="AG20" i="12"/>
  <c r="AG21" i="12" s="1"/>
  <c r="C28" i="12" s="1"/>
  <c r="AC20" i="12"/>
  <c r="AC21" i="12" s="1"/>
  <c r="E27" i="12" s="1"/>
  <c r="Z20" i="12"/>
  <c r="Z21" i="12" s="1"/>
  <c r="B27" i="12" s="1"/>
  <c r="M20" i="12"/>
  <c r="M21" i="12" s="1"/>
  <c r="G24" i="12" s="1"/>
  <c r="H23" i="12" l="1"/>
  <c r="J23" i="12" s="1"/>
  <c r="H25" i="12"/>
  <c r="J25" i="12" s="1"/>
  <c r="H29" i="12"/>
  <c r="J29" i="12" s="1"/>
  <c r="H24" i="12"/>
  <c r="J24" i="12" s="1"/>
  <c r="I23" i="12"/>
  <c r="K23" i="12" s="1"/>
  <c r="I30" i="12"/>
  <c r="K30" i="12" s="1"/>
  <c r="L30" i="12" s="1"/>
  <c r="M30" i="12" s="1"/>
  <c r="I25" i="12"/>
  <c r="K25" i="12" s="1"/>
  <c r="I26" i="12"/>
  <c r="K26" i="12" s="1"/>
  <c r="H26" i="12"/>
  <c r="J26" i="12" s="1"/>
  <c r="I28" i="12"/>
  <c r="K28" i="12" s="1"/>
  <c r="I29" i="12"/>
  <c r="K29" i="12" s="1"/>
  <c r="I27" i="12"/>
  <c r="K27" i="12" s="1"/>
  <c r="H28" i="12"/>
  <c r="J28" i="12" s="1"/>
  <c r="H27" i="12"/>
  <c r="J27" i="12" s="1"/>
  <c r="I24" i="12"/>
  <c r="K24" i="12" s="1"/>
  <c r="L23" i="12" l="1"/>
  <c r="M23" i="12" s="1"/>
  <c r="L29" i="12"/>
  <c r="M29" i="12" s="1"/>
  <c r="L25" i="12"/>
  <c r="M25" i="12" s="1"/>
  <c r="L24" i="12"/>
  <c r="M24" i="12" s="1"/>
  <c r="L26" i="12"/>
  <c r="M26" i="12" s="1"/>
  <c r="L27" i="12"/>
  <c r="M27" i="12" s="1"/>
  <c r="L28" i="12"/>
  <c r="M28" i="12" s="1"/>
  <c r="B31" i="12" l="1"/>
  <c r="C41" i="12" s="1"/>
  <c r="E39" i="12" l="1"/>
  <c r="F36" i="12"/>
  <c r="D39" i="12"/>
  <c r="F41" i="12"/>
  <c r="E35" i="12"/>
  <c r="E41" i="12"/>
  <c r="D38" i="12"/>
  <c r="E37" i="12"/>
  <c r="D36" i="12"/>
  <c r="F38" i="12"/>
  <c r="E36" i="12"/>
  <c r="E40" i="12"/>
  <c r="D41" i="12"/>
  <c r="D40" i="12"/>
  <c r="F39" i="12"/>
  <c r="F40" i="12"/>
  <c r="C40" i="12"/>
  <c r="C38" i="12"/>
  <c r="D37" i="12"/>
  <c r="F35" i="12"/>
  <c r="C39" i="12"/>
  <c r="D35" i="12"/>
  <c r="C37" i="12"/>
  <c r="E38" i="12"/>
  <c r="F34" i="12"/>
  <c r="C36" i="12"/>
  <c r="E34" i="12"/>
  <c r="C35" i="12"/>
  <c r="D34" i="12"/>
  <c r="F37" i="12"/>
  <c r="C34" i="12"/>
  <c r="G39" i="12" l="1"/>
  <c r="G36" i="12"/>
  <c r="G35" i="12"/>
  <c r="G41" i="12"/>
  <c r="G34" i="12"/>
  <c r="G40" i="12"/>
  <c r="G37" i="12"/>
  <c r="G38" i="12"/>
  <c r="B43" i="12" l="1"/>
  <c r="H44" i="12" s="1"/>
  <c r="H47" i="12" s="1"/>
  <c r="V44" i="12" l="1"/>
  <c r="V47" i="12" s="1"/>
  <c r="L44" i="12"/>
  <c r="L47" i="12" s="1"/>
  <c r="G44" i="12"/>
  <c r="G47" i="12" s="1"/>
  <c r="T44" i="12"/>
  <c r="T47" i="12" s="1"/>
  <c r="Y44" i="12"/>
  <c r="Y47" i="12" s="1"/>
  <c r="W44" i="12"/>
  <c r="W47" i="12" s="1"/>
  <c r="D44" i="12"/>
  <c r="D47" i="12" s="1"/>
  <c r="Q44" i="12"/>
  <c r="Q47" i="12" s="1"/>
  <c r="AD44" i="12"/>
  <c r="AD47" i="12" s="1"/>
  <c r="F44" i="12"/>
  <c r="F47" i="12" s="1"/>
  <c r="B44" i="12"/>
  <c r="B47" i="12" s="1"/>
  <c r="N44" i="12"/>
  <c r="N47" i="12" s="1"/>
  <c r="AE44" i="12"/>
  <c r="AE47" i="12" s="1"/>
  <c r="I44" i="12"/>
  <c r="I47" i="12" s="1"/>
  <c r="U44" i="12"/>
  <c r="U47" i="12" s="1"/>
  <c r="AB44" i="12"/>
  <c r="AB47" i="12" s="1"/>
  <c r="K44" i="12"/>
  <c r="K47" i="12" s="1"/>
  <c r="X44" i="12"/>
  <c r="X47" i="12" s="1"/>
  <c r="C44" i="12"/>
  <c r="C47" i="12" s="1"/>
  <c r="Z44" i="12"/>
  <c r="Z47" i="12" s="1"/>
  <c r="O44" i="12"/>
  <c r="O47" i="12" s="1"/>
  <c r="P44" i="12"/>
  <c r="P47" i="12" s="1"/>
  <c r="E44" i="12"/>
  <c r="E47" i="12" s="1"/>
  <c r="AC44" i="12"/>
  <c r="AC47" i="12" s="1"/>
  <c r="AA44" i="12"/>
  <c r="AA47" i="12" s="1"/>
  <c r="AF44" i="12"/>
  <c r="AF47" i="12" s="1"/>
  <c r="J44" i="12"/>
  <c r="J47" i="12" s="1"/>
  <c r="R44" i="12"/>
  <c r="R47" i="12" s="1"/>
  <c r="M44" i="12"/>
  <c r="M47" i="12" s="1"/>
  <c r="AG44" i="12"/>
  <c r="AG47" i="12" s="1"/>
  <c r="S44" i="12"/>
  <c r="S47" i="12" s="1"/>
  <c r="F48" i="12" l="1"/>
  <c r="J48" i="12"/>
  <c r="B48" i="12"/>
  <c r="V48" i="12"/>
  <c r="N48" i="12"/>
  <c r="AD48" i="12"/>
  <c r="R48" i="12"/>
  <c r="Z48" i="12"/>
  <c r="B50" i="12" l="1"/>
  <c r="B49" i="12"/>
  <c r="C6" i="13" s="1"/>
  <c r="F14" i="13" s="1"/>
  <c r="H15" i="13" l="1"/>
  <c r="D11" i="13"/>
  <c r="D13" i="13"/>
  <c r="F12" i="13"/>
  <c r="E9" i="13"/>
  <c r="G10" i="13"/>
  <c r="E12" i="13"/>
  <c r="E13" i="13"/>
  <c r="H9" i="13"/>
  <c r="H14" i="13"/>
  <c r="E15" i="13"/>
  <c r="H8" i="13"/>
  <c r="L35" i="2"/>
  <c r="N54" i="2" s="1"/>
  <c r="N72" i="2" s="1"/>
  <c r="F13" i="13"/>
  <c r="F8" i="13"/>
  <c r="B45" i="14"/>
  <c r="AF46" i="14" s="1"/>
  <c r="E14" i="13"/>
  <c r="C15" i="13"/>
  <c r="G9" i="13"/>
  <c r="F10" i="13"/>
  <c r="D14" i="13"/>
  <c r="H12" i="13"/>
  <c r="D8" i="13"/>
  <c r="H13" i="13"/>
  <c r="C13" i="13"/>
  <c r="F15" i="13"/>
  <c r="D9" i="13"/>
  <c r="D15" i="13"/>
  <c r="D10" i="13"/>
  <c r="H10" i="13"/>
  <c r="C14" i="13"/>
  <c r="G14" i="13"/>
  <c r="G12" i="13"/>
  <c r="D12" i="13"/>
  <c r="F11" i="13"/>
  <c r="E10" i="13"/>
  <c r="C9" i="13"/>
  <c r="G13" i="13"/>
  <c r="F9" i="13"/>
  <c r="G15" i="13"/>
  <c r="C8" i="13"/>
  <c r="E8" i="13"/>
  <c r="C11" i="13"/>
  <c r="G11" i="13"/>
  <c r="C10" i="13"/>
  <c r="G8" i="13"/>
  <c r="H11" i="13"/>
  <c r="E11" i="13"/>
  <c r="C12" i="13"/>
  <c r="C36" i="2" l="1"/>
  <c r="X35" i="2"/>
  <c r="S54" i="2"/>
  <c r="S72" i="2" s="1"/>
  <c r="O54" i="2"/>
  <c r="O72" i="2" s="1"/>
  <c r="AD46" i="14"/>
  <c r="T46" i="14"/>
  <c r="M46" i="14"/>
  <c r="AC46" i="14"/>
  <c r="S46" i="14"/>
  <c r="I46" i="14"/>
  <c r="AB46" i="14"/>
  <c r="J46" i="14"/>
  <c r="D46" i="14"/>
  <c r="V46" i="14"/>
  <c r="G46" i="14"/>
  <c r="F46" i="14"/>
  <c r="AG46" i="14"/>
  <c r="I13" i="13"/>
  <c r="M54" i="2"/>
  <c r="M72" i="2" s="1"/>
  <c r="Q54" i="2"/>
  <c r="Q72" i="2" s="1"/>
  <c r="L54" i="2"/>
  <c r="L72" i="2" s="1"/>
  <c r="I10" i="13"/>
  <c r="I14" i="13"/>
  <c r="I15" i="13"/>
  <c r="R54" i="2"/>
  <c r="R72" i="2" s="1"/>
  <c r="P54" i="2"/>
  <c r="P72" i="2" s="1"/>
  <c r="I8" i="13"/>
  <c r="I12" i="13"/>
  <c r="N46" i="14"/>
  <c r="Z46" i="14"/>
  <c r="B46" i="14"/>
  <c r="P46" i="14"/>
  <c r="E46" i="14"/>
  <c r="O46" i="14"/>
  <c r="R46" i="14"/>
  <c r="Q46" i="14"/>
  <c r="AA46" i="14"/>
  <c r="H46" i="14"/>
  <c r="AE46" i="14"/>
  <c r="K46" i="14"/>
  <c r="U46" i="14"/>
  <c r="Y46" i="14"/>
  <c r="X46" i="14"/>
  <c r="W46" i="14"/>
  <c r="L46" i="14"/>
  <c r="C46" i="14"/>
  <c r="I9" i="13"/>
  <c r="I11" i="13"/>
  <c r="F55" i="2"/>
  <c r="F73" i="2" s="1"/>
  <c r="G55" i="2"/>
  <c r="G73" i="2" s="1"/>
  <c r="E55" i="2"/>
  <c r="E73" i="2" s="1"/>
  <c r="H55" i="2"/>
  <c r="H73" i="2" s="1"/>
  <c r="C55" i="2"/>
  <c r="C73" i="2" s="1"/>
  <c r="J55" i="2"/>
  <c r="J73" i="2" s="1"/>
  <c r="I55" i="2"/>
  <c r="I73" i="2" s="1"/>
  <c r="D55" i="2"/>
  <c r="D73" i="2" s="1"/>
  <c r="B16" i="13" l="1"/>
  <c r="O20" i="13" s="1"/>
  <c r="O21" i="13" s="1"/>
  <c r="C25" i="13" s="1"/>
  <c r="P20" i="13" l="1"/>
  <c r="P21" i="13" s="1"/>
  <c r="D25" i="13" s="1"/>
  <c r="G20" i="13"/>
  <c r="G21" i="13" s="1"/>
  <c r="G23" i="13" s="1"/>
  <c r="W20" i="13"/>
  <c r="W21" i="13" s="1"/>
  <c r="E26" i="13" s="1"/>
  <c r="Q20" i="13"/>
  <c r="Q21" i="13" s="1"/>
  <c r="E25" i="13" s="1"/>
  <c r="E20" i="13"/>
  <c r="E21" i="13" s="1"/>
  <c r="E23" i="13" s="1"/>
  <c r="D20" i="13"/>
  <c r="D21" i="13" s="1"/>
  <c r="D23" i="13" s="1"/>
  <c r="AS20" i="13"/>
  <c r="AS21" i="13" s="1"/>
  <c r="C30" i="13" s="1"/>
  <c r="J20" i="13"/>
  <c r="J21" i="13" s="1"/>
  <c r="D24" i="13" s="1"/>
  <c r="I20" i="13"/>
  <c r="I21" i="13" s="1"/>
  <c r="C24" i="13" s="1"/>
  <c r="AU20" i="13"/>
  <c r="AU21" i="13" s="1"/>
  <c r="E30" i="13" s="1"/>
  <c r="AA20" i="13"/>
  <c r="AA21" i="13" s="1"/>
  <c r="C27" i="13" s="1"/>
  <c r="AW20" i="13"/>
  <c r="AW21" i="13" s="1"/>
  <c r="G30" i="13" s="1"/>
  <c r="U20" i="13"/>
  <c r="U21" i="13" s="1"/>
  <c r="C26" i="13" s="1"/>
  <c r="C20" i="13"/>
  <c r="C21" i="13" s="1"/>
  <c r="C23" i="13" s="1"/>
  <c r="Z20" i="13"/>
  <c r="Z21" i="13" s="1"/>
  <c r="B27" i="13" s="1"/>
  <c r="AM20" i="13"/>
  <c r="AM21" i="13" s="1"/>
  <c r="C29" i="13" s="1"/>
  <c r="B20" i="13"/>
  <c r="B21" i="13" s="1"/>
  <c r="B23" i="13" s="1"/>
  <c r="AE20" i="13"/>
  <c r="AE21" i="13" s="1"/>
  <c r="G27" i="13" s="1"/>
  <c r="K20" i="13"/>
  <c r="K21" i="13" s="1"/>
  <c r="E24" i="13" s="1"/>
  <c r="AH20" i="13"/>
  <c r="AH21" i="13" s="1"/>
  <c r="D28" i="13" s="1"/>
  <c r="X20" i="13"/>
  <c r="X21" i="13" s="1"/>
  <c r="F26" i="13" s="1"/>
  <c r="H20" i="13"/>
  <c r="H21" i="13" s="1"/>
  <c r="B24" i="13" s="1"/>
  <c r="AB20" i="13"/>
  <c r="AB21" i="13" s="1"/>
  <c r="D27" i="13" s="1"/>
  <c r="N20" i="13"/>
  <c r="N21" i="13" s="1"/>
  <c r="B25" i="13" s="1"/>
  <c r="T20" i="13"/>
  <c r="T21" i="13" s="1"/>
  <c r="B26" i="13" s="1"/>
  <c r="L20" i="13"/>
  <c r="L21" i="13" s="1"/>
  <c r="F24" i="13" s="1"/>
  <c r="AV20" i="13"/>
  <c r="AV21" i="13" s="1"/>
  <c r="F30" i="13" s="1"/>
  <c r="F20" i="13"/>
  <c r="F21" i="13" s="1"/>
  <c r="F23" i="13" s="1"/>
  <c r="AP20" i="13"/>
  <c r="AP21" i="13" s="1"/>
  <c r="F29" i="13" s="1"/>
  <c r="AK20" i="13"/>
  <c r="AK21" i="13" s="1"/>
  <c r="G28" i="13" s="1"/>
  <c r="S20" i="13"/>
  <c r="S21" i="13" s="1"/>
  <c r="G25" i="13" s="1"/>
  <c r="AT20" i="13"/>
  <c r="AT21" i="13" s="1"/>
  <c r="D30" i="13" s="1"/>
  <c r="AD20" i="13"/>
  <c r="AD21" i="13" s="1"/>
  <c r="F27" i="13" s="1"/>
  <c r="AF20" i="13"/>
  <c r="AF21" i="13" s="1"/>
  <c r="B28" i="13" s="1"/>
  <c r="AR20" i="13"/>
  <c r="AR21" i="13" s="1"/>
  <c r="B30" i="13" s="1"/>
  <c r="V20" i="13"/>
  <c r="V21" i="13" s="1"/>
  <c r="D26" i="13" s="1"/>
  <c r="AJ20" i="13"/>
  <c r="AJ21" i="13" s="1"/>
  <c r="F28" i="13" s="1"/>
  <c r="AO20" i="13"/>
  <c r="AO21" i="13" s="1"/>
  <c r="E29" i="13" s="1"/>
  <c r="AG20" i="13"/>
  <c r="AG21" i="13" s="1"/>
  <c r="C28" i="13" s="1"/>
  <c r="AI20" i="13"/>
  <c r="AI21" i="13" s="1"/>
  <c r="E28" i="13" s="1"/>
  <c r="AL20" i="13"/>
  <c r="AL21" i="13" s="1"/>
  <c r="B29" i="13" s="1"/>
  <c r="AN20" i="13"/>
  <c r="AN21" i="13" s="1"/>
  <c r="D29" i="13" s="1"/>
  <c r="R20" i="13"/>
  <c r="R21" i="13" s="1"/>
  <c r="F25" i="13" s="1"/>
  <c r="M20" i="13"/>
  <c r="M21" i="13" s="1"/>
  <c r="G24" i="13" s="1"/>
  <c r="AQ20" i="13"/>
  <c r="AQ21" i="13" s="1"/>
  <c r="G29" i="13" s="1"/>
  <c r="AC20" i="13"/>
  <c r="AC21" i="13" s="1"/>
  <c r="E27" i="13" s="1"/>
  <c r="Y20" i="13"/>
  <c r="Y21" i="13" s="1"/>
  <c r="G26" i="13" s="1"/>
  <c r="H25" i="13" l="1"/>
  <c r="J25" i="13" s="1"/>
  <c r="H26" i="13"/>
  <c r="J26" i="13" s="1"/>
  <c r="I26" i="13"/>
  <c r="K26" i="13" s="1"/>
  <c r="I23" i="13"/>
  <c r="K23" i="13" s="1"/>
  <c r="I25" i="13"/>
  <c r="K25" i="13" s="1"/>
  <c r="H23" i="13"/>
  <c r="J23" i="13" s="1"/>
  <c r="I28" i="13"/>
  <c r="K28" i="13" s="1"/>
  <c r="I29" i="13"/>
  <c r="K29" i="13" s="1"/>
  <c r="I24" i="13"/>
  <c r="K24" i="13" s="1"/>
  <c r="I27" i="13"/>
  <c r="K27" i="13" s="1"/>
  <c r="H27" i="13"/>
  <c r="J27" i="13" s="1"/>
  <c r="H30" i="13"/>
  <c r="J30" i="13" s="1"/>
  <c r="I30" i="13"/>
  <c r="K30" i="13" s="1"/>
  <c r="H28" i="13"/>
  <c r="J28" i="13" s="1"/>
  <c r="H24" i="13"/>
  <c r="J24" i="13" s="1"/>
  <c r="H29" i="13"/>
  <c r="J29" i="13" s="1"/>
  <c r="L25" i="13" l="1"/>
  <c r="M25" i="13" s="1"/>
  <c r="L26" i="13"/>
  <c r="M26" i="13" s="1"/>
  <c r="L23" i="13"/>
  <c r="M23" i="13" s="1"/>
  <c r="L28" i="13"/>
  <c r="M28" i="13" s="1"/>
  <c r="L24" i="13"/>
  <c r="M24" i="13" s="1"/>
  <c r="L29" i="13"/>
  <c r="M29" i="13" s="1"/>
  <c r="L27" i="13"/>
  <c r="M27" i="13" s="1"/>
  <c r="L30" i="13"/>
  <c r="M30" i="13" s="1"/>
  <c r="B31" i="13" l="1"/>
  <c r="F41" i="13" s="1"/>
  <c r="D38" i="13" l="1"/>
  <c r="C39" i="13"/>
  <c r="E41" i="13"/>
  <c r="F35" i="13"/>
  <c r="E35" i="13"/>
  <c r="C41" i="13"/>
  <c r="C36" i="13"/>
  <c r="D36" i="13"/>
  <c r="C40" i="13"/>
  <c r="C35" i="13"/>
  <c r="C38" i="13"/>
  <c r="C34" i="13"/>
  <c r="E37" i="13"/>
  <c r="E39" i="13"/>
  <c r="D40" i="13"/>
  <c r="D41" i="13"/>
  <c r="D37" i="13"/>
  <c r="F34" i="13"/>
  <c r="D35" i="13"/>
  <c r="F36" i="13"/>
  <c r="F38" i="13"/>
  <c r="C37" i="13"/>
  <c r="E38" i="13"/>
  <c r="F40" i="13"/>
  <c r="D39" i="13"/>
  <c r="E34" i="13"/>
  <c r="E40" i="13"/>
  <c r="D34" i="13"/>
  <c r="F39" i="13"/>
  <c r="E36" i="13"/>
  <c r="F37" i="13"/>
  <c r="G41" i="13" l="1"/>
  <c r="G38" i="13"/>
  <c r="G35" i="13"/>
  <c r="G37" i="13"/>
  <c r="G36" i="13"/>
  <c r="G39" i="13"/>
  <c r="G34" i="13"/>
  <c r="G40" i="13"/>
  <c r="B43" i="13" l="1"/>
  <c r="W44" i="13" s="1"/>
  <c r="W47" i="13" s="1"/>
  <c r="S44" i="13" l="1"/>
  <c r="S47" i="13" s="1"/>
  <c r="AC44" i="13"/>
  <c r="AC47" i="13" s="1"/>
  <c r="L44" i="13"/>
  <c r="L47" i="13" s="1"/>
  <c r="E44" i="13"/>
  <c r="E47" i="13" s="1"/>
  <c r="U44" i="13"/>
  <c r="U47" i="13" s="1"/>
  <c r="AD44" i="13"/>
  <c r="AD47" i="13" s="1"/>
  <c r="Q44" i="13"/>
  <c r="Q47" i="13" s="1"/>
  <c r="T44" i="13"/>
  <c r="T47" i="13" s="1"/>
  <c r="D44" i="13"/>
  <c r="D47" i="13" s="1"/>
  <c r="O44" i="13"/>
  <c r="O47" i="13" s="1"/>
  <c r="Y44" i="13"/>
  <c r="Y47" i="13" s="1"/>
  <c r="C44" i="13"/>
  <c r="C47" i="13" s="1"/>
  <c r="K44" i="13"/>
  <c r="K47" i="13" s="1"/>
  <c r="AG44" i="13"/>
  <c r="AG47" i="13" s="1"/>
  <c r="F44" i="13"/>
  <c r="F47" i="13" s="1"/>
  <c r="M44" i="13"/>
  <c r="M47" i="13" s="1"/>
  <c r="AB44" i="13"/>
  <c r="AB47" i="13" s="1"/>
  <c r="V44" i="13"/>
  <c r="V47" i="13" s="1"/>
  <c r="I44" i="13"/>
  <c r="I47" i="13" s="1"/>
  <c r="B44" i="13"/>
  <c r="B47" i="13" s="1"/>
  <c r="P44" i="13"/>
  <c r="P47" i="13" s="1"/>
  <c r="AA44" i="13"/>
  <c r="AA47" i="13" s="1"/>
  <c r="Z44" i="13"/>
  <c r="Z47" i="13" s="1"/>
  <c r="N44" i="13"/>
  <c r="N47" i="13" s="1"/>
  <c r="J44" i="13"/>
  <c r="J47" i="13" s="1"/>
  <c r="AF44" i="13"/>
  <c r="AF47" i="13" s="1"/>
  <c r="R44" i="13"/>
  <c r="R47" i="13" s="1"/>
  <c r="AE44" i="13"/>
  <c r="AE47" i="13" s="1"/>
  <c r="H44" i="13"/>
  <c r="H47" i="13" s="1"/>
  <c r="X44" i="13"/>
  <c r="X47" i="13" s="1"/>
  <c r="G44" i="13"/>
  <c r="G47" i="13" s="1"/>
  <c r="V48" i="13" l="1"/>
  <c r="N48" i="13"/>
  <c r="B48" i="13"/>
  <c r="R48" i="13"/>
  <c r="Z48" i="13"/>
  <c r="AD48" i="13"/>
  <c r="J48" i="13"/>
  <c r="F48" i="13"/>
  <c r="B49" i="13" l="1"/>
  <c r="L36" i="2" s="1"/>
  <c r="Q55" i="2" s="1"/>
  <c r="Q73" i="2" s="1"/>
  <c r="B50" i="13"/>
  <c r="C6" i="14" l="1"/>
  <c r="G8" i="14" s="1"/>
  <c r="M55" i="2"/>
  <c r="M73" i="2" s="1"/>
  <c r="C37" i="2"/>
  <c r="G56" i="2" s="1"/>
  <c r="G74" i="2" s="1"/>
  <c r="P55" i="2"/>
  <c r="P73" i="2" s="1"/>
  <c r="O55" i="2"/>
  <c r="O73" i="2" s="1"/>
  <c r="N55" i="2"/>
  <c r="N73" i="2" s="1"/>
  <c r="S55" i="2"/>
  <c r="S73" i="2" s="1"/>
  <c r="X36" i="2"/>
  <c r="L55" i="2"/>
  <c r="L73" i="2" s="1"/>
  <c r="R55" i="2"/>
  <c r="R73" i="2" s="1"/>
  <c r="H10" i="14" l="1"/>
  <c r="D12" i="14"/>
  <c r="D8" i="14"/>
  <c r="E15" i="14"/>
  <c r="H12" i="14"/>
  <c r="F10" i="14"/>
  <c r="F8" i="14"/>
  <c r="F13" i="14"/>
  <c r="G12" i="14"/>
  <c r="C14" i="14"/>
  <c r="C9" i="14"/>
  <c r="F12" i="14"/>
  <c r="I56" i="2"/>
  <c r="I74" i="2" s="1"/>
  <c r="H15" i="14"/>
  <c r="B45" i="15"/>
  <c r="R46" i="15" s="1"/>
  <c r="E11" i="14"/>
  <c r="F11" i="14"/>
  <c r="H9" i="14"/>
  <c r="G11" i="14"/>
  <c r="E10" i="14"/>
  <c r="C15" i="14"/>
  <c r="C8" i="14"/>
  <c r="D15" i="14"/>
  <c r="E9" i="14"/>
  <c r="F15" i="14"/>
  <c r="E8" i="14"/>
  <c r="G15" i="14"/>
  <c r="H11" i="14"/>
  <c r="C13" i="14"/>
  <c r="H13" i="14"/>
  <c r="F14" i="14"/>
  <c r="D13" i="14"/>
  <c r="D10" i="14"/>
  <c r="G14" i="14"/>
  <c r="D11" i="14"/>
  <c r="G13" i="14"/>
  <c r="C11" i="14"/>
  <c r="H8" i="14"/>
  <c r="D14" i="14"/>
  <c r="D9" i="14"/>
  <c r="C10" i="14"/>
  <c r="F9" i="14"/>
  <c r="C12" i="14"/>
  <c r="E13" i="14"/>
  <c r="G9" i="14"/>
  <c r="H14" i="14"/>
  <c r="G10" i="14"/>
  <c r="E14" i="14"/>
  <c r="E12" i="14"/>
  <c r="F56" i="2"/>
  <c r="F74" i="2" s="1"/>
  <c r="D56" i="2"/>
  <c r="D74" i="2" s="1"/>
  <c r="C56" i="2"/>
  <c r="C74" i="2" s="1"/>
  <c r="H56" i="2"/>
  <c r="H74" i="2" s="1"/>
  <c r="E56" i="2"/>
  <c r="E74" i="2" s="1"/>
  <c r="J56" i="2"/>
  <c r="J74" i="2" s="1"/>
  <c r="AF46" i="15" l="1"/>
  <c r="Z46" i="15"/>
  <c r="P46" i="15"/>
  <c r="I15" i="14"/>
  <c r="I13" i="14"/>
  <c r="AA46" i="15"/>
  <c r="AG46" i="15"/>
  <c r="L46" i="15"/>
  <c r="E46" i="15"/>
  <c r="I10" i="14"/>
  <c r="K46" i="15"/>
  <c r="AD46" i="15"/>
  <c r="T46" i="15"/>
  <c r="AC46" i="15"/>
  <c r="I12" i="14"/>
  <c r="Q46" i="15"/>
  <c r="X46" i="15"/>
  <c r="I46" i="15"/>
  <c r="H46" i="15"/>
  <c r="I11" i="14"/>
  <c r="O46" i="15"/>
  <c r="M46" i="15"/>
  <c r="F46" i="15"/>
  <c r="N46" i="15"/>
  <c r="U46" i="15"/>
  <c r="C46" i="15"/>
  <c r="AE46" i="15"/>
  <c r="V46" i="15"/>
  <c r="S46" i="15"/>
  <c r="J46" i="15"/>
  <c r="W46" i="15"/>
  <c r="AB46" i="15"/>
  <c r="B46" i="15"/>
  <c r="I9" i="14"/>
  <c r="I14" i="14"/>
  <c r="I8" i="14"/>
  <c r="G46" i="15"/>
  <c r="Y46" i="15"/>
  <c r="D46" i="15"/>
  <c r="B16" i="14" l="1"/>
  <c r="AB20" i="14" s="1"/>
  <c r="AB21" i="14" s="1"/>
  <c r="D27" i="14" s="1"/>
  <c r="Y20" i="14" l="1"/>
  <c r="Y21" i="14" s="1"/>
  <c r="G26" i="14" s="1"/>
  <c r="H20" i="14"/>
  <c r="H21" i="14" s="1"/>
  <c r="B24" i="14" s="1"/>
  <c r="G20" i="14"/>
  <c r="G21" i="14" s="1"/>
  <c r="G23" i="14" s="1"/>
  <c r="AE20" i="14"/>
  <c r="AE21" i="14" s="1"/>
  <c r="G27" i="14" s="1"/>
  <c r="T20" i="14"/>
  <c r="T21" i="14" s="1"/>
  <c r="B26" i="14" s="1"/>
  <c r="K20" i="14"/>
  <c r="K21" i="14" s="1"/>
  <c r="E24" i="14" s="1"/>
  <c r="AJ20" i="14"/>
  <c r="AJ21" i="14" s="1"/>
  <c r="F28" i="14" s="1"/>
  <c r="X20" i="14"/>
  <c r="X21" i="14" s="1"/>
  <c r="F26" i="14" s="1"/>
  <c r="AG20" i="14"/>
  <c r="AG21" i="14" s="1"/>
  <c r="C28" i="14" s="1"/>
  <c r="AP20" i="14"/>
  <c r="AP21" i="14" s="1"/>
  <c r="F29" i="14" s="1"/>
  <c r="AW20" i="14"/>
  <c r="AW21" i="14" s="1"/>
  <c r="G30" i="14" s="1"/>
  <c r="AH20" i="14"/>
  <c r="AH21" i="14" s="1"/>
  <c r="D28" i="14" s="1"/>
  <c r="AA20" i="14"/>
  <c r="AA21" i="14" s="1"/>
  <c r="C27" i="14" s="1"/>
  <c r="AD20" i="14"/>
  <c r="AD21" i="14" s="1"/>
  <c r="F27" i="14" s="1"/>
  <c r="AM20" i="14"/>
  <c r="AM21" i="14" s="1"/>
  <c r="C29" i="14" s="1"/>
  <c r="AT20" i="14"/>
  <c r="AT21" i="14" s="1"/>
  <c r="D30" i="14" s="1"/>
  <c r="AL20" i="14"/>
  <c r="AL21" i="14" s="1"/>
  <c r="B29" i="14" s="1"/>
  <c r="W20" i="14"/>
  <c r="W21" i="14" s="1"/>
  <c r="E26" i="14" s="1"/>
  <c r="E20" i="14"/>
  <c r="E21" i="14" s="1"/>
  <c r="E23" i="14" s="1"/>
  <c r="M20" i="14"/>
  <c r="M21" i="14" s="1"/>
  <c r="G24" i="14" s="1"/>
  <c r="N20" i="14"/>
  <c r="N21" i="14" s="1"/>
  <c r="B25" i="14" s="1"/>
  <c r="U20" i="14"/>
  <c r="U21" i="14" s="1"/>
  <c r="C26" i="14" s="1"/>
  <c r="AC20" i="14"/>
  <c r="AC21" i="14" s="1"/>
  <c r="E27" i="14" s="1"/>
  <c r="F20" i="14"/>
  <c r="F21" i="14" s="1"/>
  <c r="F23" i="14" s="1"/>
  <c r="S20" i="14"/>
  <c r="S21" i="14" s="1"/>
  <c r="G25" i="14" s="1"/>
  <c r="Q20" i="14"/>
  <c r="Q21" i="14" s="1"/>
  <c r="E25" i="14" s="1"/>
  <c r="P20" i="14"/>
  <c r="P21" i="14" s="1"/>
  <c r="D25" i="14" s="1"/>
  <c r="AO20" i="14"/>
  <c r="AO21" i="14" s="1"/>
  <c r="E29" i="14" s="1"/>
  <c r="AQ20" i="14"/>
  <c r="AQ21" i="14" s="1"/>
  <c r="G29" i="14" s="1"/>
  <c r="AK20" i="14"/>
  <c r="AK21" i="14" s="1"/>
  <c r="G28" i="14" s="1"/>
  <c r="D20" i="14"/>
  <c r="D21" i="14" s="1"/>
  <c r="D23" i="14" s="1"/>
  <c r="AU20" i="14"/>
  <c r="AU21" i="14" s="1"/>
  <c r="E30" i="14" s="1"/>
  <c r="J20" i="14"/>
  <c r="J21" i="14" s="1"/>
  <c r="D24" i="14" s="1"/>
  <c r="AS20" i="14"/>
  <c r="AS21" i="14" s="1"/>
  <c r="C30" i="14" s="1"/>
  <c r="Z20" i="14"/>
  <c r="Z21" i="14" s="1"/>
  <c r="B27" i="14" s="1"/>
  <c r="AF20" i="14"/>
  <c r="AF21" i="14" s="1"/>
  <c r="B28" i="14" s="1"/>
  <c r="AV20" i="14"/>
  <c r="AV21" i="14" s="1"/>
  <c r="F30" i="14" s="1"/>
  <c r="O20" i="14"/>
  <c r="O21" i="14" s="1"/>
  <c r="C25" i="14" s="1"/>
  <c r="I20" i="14"/>
  <c r="I21" i="14" s="1"/>
  <c r="C24" i="14" s="1"/>
  <c r="L20" i="14"/>
  <c r="L21" i="14" s="1"/>
  <c r="F24" i="14" s="1"/>
  <c r="AI20" i="14"/>
  <c r="AI21" i="14" s="1"/>
  <c r="E28" i="14" s="1"/>
  <c r="V20" i="14"/>
  <c r="V21" i="14" s="1"/>
  <c r="D26" i="14" s="1"/>
  <c r="B20" i="14"/>
  <c r="B21" i="14" s="1"/>
  <c r="B23" i="14" s="1"/>
  <c r="C20" i="14"/>
  <c r="C21" i="14" s="1"/>
  <c r="C23" i="14" s="1"/>
  <c r="AR20" i="14"/>
  <c r="AR21" i="14" s="1"/>
  <c r="B30" i="14" s="1"/>
  <c r="R20" i="14"/>
  <c r="R21" i="14" s="1"/>
  <c r="F25" i="14" s="1"/>
  <c r="AN20" i="14"/>
  <c r="AN21" i="14" s="1"/>
  <c r="D29" i="14" s="1"/>
  <c r="H29" i="14" l="1"/>
  <c r="J29" i="14" s="1"/>
  <c r="H23" i="14"/>
  <c r="J23" i="14" s="1"/>
  <c r="I23" i="14"/>
  <c r="K23" i="14" s="1"/>
  <c r="H25" i="14"/>
  <c r="J25" i="14" s="1"/>
  <c r="I24" i="14"/>
  <c r="K24" i="14" s="1"/>
  <c r="I28" i="14"/>
  <c r="K28" i="14" s="1"/>
  <c r="I27" i="14"/>
  <c r="K27" i="14" s="1"/>
  <c r="H30" i="14"/>
  <c r="J30" i="14" s="1"/>
  <c r="I30" i="14"/>
  <c r="K30" i="14" s="1"/>
  <c r="H28" i="14"/>
  <c r="J28" i="14" s="1"/>
  <c r="I26" i="14"/>
  <c r="K26" i="14" s="1"/>
  <c r="H27" i="14"/>
  <c r="J27" i="14" s="1"/>
  <c r="I25" i="14"/>
  <c r="K25" i="14" s="1"/>
  <c r="I29" i="14"/>
  <c r="K29" i="14" s="1"/>
  <c r="H24" i="14"/>
  <c r="J24" i="14" s="1"/>
  <c r="H26" i="14"/>
  <c r="J26" i="14" s="1"/>
  <c r="L23" i="14" l="1"/>
  <c r="M23" i="14" s="1"/>
  <c r="L29" i="14"/>
  <c r="M29" i="14" s="1"/>
  <c r="L25" i="14"/>
  <c r="M25" i="14" s="1"/>
  <c r="L24" i="14"/>
  <c r="M24" i="14" s="1"/>
  <c r="L28" i="14"/>
  <c r="M28" i="14" s="1"/>
  <c r="L26" i="14"/>
  <c r="M26" i="14" s="1"/>
  <c r="L27" i="14"/>
  <c r="M27" i="14" s="1"/>
  <c r="L30" i="14"/>
  <c r="M30" i="14" s="1"/>
  <c r="B31" i="14" l="1"/>
  <c r="E37" i="14" s="1"/>
  <c r="F37" i="14" l="1"/>
  <c r="D35" i="14"/>
  <c r="C41" i="14"/>
  <c r="D34" i="14"/>
  <c r="E34" i="14"/>
  <c r="D37" i="14"/>
  <c r="E40" i="14"/>
  <c r="E41" i="14"/>
  <c r="F41" i="14"/>
  <c r="C37" i="14"/>
  <c r="C35" i="14"/>
  <c r="F39" i="14"/>
  <c r="F38" i="14"/>
  <c r="C36" i="14"/>
  <c r="E39" i="14"/>
  <c r="D41" i="14"/>
  <c r="F34" i="14"/>
  <c r="F36" i="14"/>
  <c r="D40" i="14"/>
  <c r="E35" i="14"/>
  <c r="C38" i="14"/>
  <c r="E38" i="14"/>
  <c r="F40" i="14"/>
  <c r="E36" i="14"/>
  <c r="F35" i="14"/>
  <c r="D38" i="14"/>
  <c r="D36" i="14"/>
  <c r="D39" i="14"/>
  <c r="C34" i="14"/>
  <c r="C39" i="14"/>
  <c r="C40" i="14"/>
  <c r="G40" i="14" l="1"/>
  <c r="G37" i="14"/>
  <c r="G35" i="14"/>
  <c r="G34" i="14"/>
  <c r="G41" i="14"/>
  <c r="G39" i="14"/>
  <c r="G38" i="14"/>
  <c r="G36" i="14"/>
  <c r="B43" i="14" l="1"/>
  <c r="C44" i="14" s="1"/>
  <c r="C47" i="14" s="1"/>
  <c r="AE44" i="14" l="1"/>
  <c r="AE47" i="14" s="1"/>
  <c r="AC44" i="14"/>
  <c r="AC47" i="14" s="1"/>
  <c r="N44" i="14"/>
  <c r="N47" i="14" s="1"/>
  <c r="AA44" i="14"/>
  <c r="AA47" i="14" s="1"/>
  <c r="AF44" i="14"/>
  <c r="AF47" i="14" s="1"/>
  <c r="D44" i="14"/>
  <c r="D47" i="14" s="1"/>
  <c r="I44" i="14"/>
  <c r="I47" i="14" s="1"/>
  <c r="W44" i="14"/>
  <c r="W47" i="14" s="1"/>
  <c r="K44" i="14"/>
  <c r="K47" i="14" s="1"/>
  <c r="P44" i="14"/>
  <c r="P47" i="14" s="1"/>
  <c r="S44" i="14"/>
  <c r="S47" i="14" s="1"/>
  <c r="AD44" i="14"/>
  <c r="AD47" i="14" s="1"/>
  <c r="B44" i="14"/>
  <c r="B47" i="14" s="1"/>
  <c r="T44" i="14"/>
  <c r="T47" i="14" s="1"/>
  <c r="E44" i="14"/>
  <c r="E47" i="14" s="1"/>
  <c r="F44" i="14"/>
  <c r="F47" i="14" s="1"/>
  <c r="U44" i="14"/>
  <c r="U47" i="14" s="1"/>
  <c r="M44" i="14"/>
  <c r="M47" i="14" s="1"/>
  <c r="Q44" i="14"/>
  <c r="Q47" i="14" s="1"/>
  <c r="Z44" i="14"/>
  <c r="Z47" i="14" s="1"/>
  <c r="H44" i="14"/>
  <c r="H47" i="14" s="1"/>
  <c r="AB44" i="14"/>
  <c r="AB47" i="14" s="1"/>
  <c r="R44" i="14"/>
  <c r="R47" i="14" s="1"/>
  <c r="X44" i="14"/>
  <c r="X47" i="14" s="1"/>
  <c r="G44" i="14"/>
  <c r="G47" i="14" s="1"/>
  <c r="L44" i="14"/>
  <c r="L47" i="14" s="1"/>
  <c r="J44" i="14"/>
  <c r="J47" i="14" s="1"/>
  <c r="Y44" i="14"/>
  <c r="Y47" i="14" s="1"/>
  <c r="O44" i="14"/>
  <c r="O47" i="14" s="1"/>
  <c r="V44" i="14"/>
  <c r="V47" i="14" s="1"/>
  <c r="AG44" i="14"/>
  <c r="AG47" i="14" s="1"/>
  <c r="R48" i="14" l="1"/>
  <c r="F48" i="14"/>
  <c r="Z48" i="14"/>
  <c r="B48" i="14"/>
  <c r="AD48" i="14"/>
  <c r="N48" i="14"/>
  <c r="J48" i="14"/>
  <c r="V48" i="14"/>
  <c r="B50" i="14" l="1"/>
  <c r="B49" i="14"/>
  <c r="L37" i="2" s="1"/>
  <c r="X37" i="2" s="1"/>
  <c r="P56" i="2" l="1"/>
  <c r="P74" i="2" s="1"/>
  <c r="S56" i="2"/>
  <c r="S74" i="2" s="1"/>
  <c r="N56" i="2"/>
  <c r="N74" i="2" s="1"/>
  <c r="L56" i="2"/>
  <c r="L74" i="2" s="1"/>
  <c r="R56" i="2"/>
  <c r="R74" i="2" s="1"/>
  <c r="C38" i="2"/>
  <c r="E57" i="2" s="1"/>
  <c r="E75" i="2" s="1"/>
  <c r="C6" i="15"/>
  <c r="G11" i="15" s="1"/>
  <c r="Q56" i="2"/>
  <c r="Q74" i="2" s="1"/>
  <c r="M56" i="2"/>
  <c r="M74" i="2" s="1"/>
  <c r="O56" i="2"/>
  <c r="O74" i="2" s="1"/>
  <c r="F15" i="15" l="1"/>
  <c r="C12" i="15"/>
  <c r="E15" i="15"/>
  <c r="G14" i="15"/>
  <c r="D8" i="15"/>
  <c r="J57" i="2"/>
  <c r="J75" i="2" s="1"/>
  <c r="I57" i="2"/>
  <c r="I75" i="2" s="1"/>
  <c r="C57" i="2"/>
  <c r="C75" i="2" s="1"/>
  <c r="D11" i="15"/>
  <c r="F9" i="15"/>
  <c r="G13" i="15"/>
  <c r="H14" i="15"/>
  <c r="C10" i="15"/>
  <c r="H11" i="15"/>
  <c r="F57" i="2"/>
  <c r="F75" i="2" s="1"/>
  <c r="G57" i="2"/>
  <c r="G75" i="2" s="1"/>
  <c r="H57" i="2"/>
  <c r="H75" i="2" s="1"/>
  <c r="D57" i="2"/>
  <c r="D75" i="2" s="1"/>
  <c r="C15" i="15"/>
  <c r="F8" i="15"/>
  <c r="D9" i="15"/>
  <c r="B45" i="16"/>
  <c r="V46" i="16" s="1"/>
  <c r="H8" i="15"/>
  <c r="H13" i="15"/>
  <c r="E8" i="15"/>
  <c r="H15" i="15"/>
  <c r="C13" i="15"/>
  <c r="D14" i="15"/>
  <c r="E12" i="15"/>
  <c r="H10" i="15"/>
  <c r="G10" i="15"/>
  <c r="F12" i="15"/>
  <c r="D10" i="15"/>
  <c r="C14" i="15"/>
  <c r="D12" i="15"/>
  <c r="H12" i="15"/>
  <c r="G8" i="15"/>
  <c r="C9" i="15"/>
  <c r="E11" i="15"/>
  <c r="F10" i="15"/>
  <c r="G15" i="15"/>
  <c r="H9" i="15"/>
  <c r="F13" i="15"/>
  <c r="F14" i="15"/>
  <c r="G12" i="15"/>
  <c r="E9" i="15"/>
  <c r="C11" i="15"/>
  <c r="F11" i="15"/>
  <c r="D13" i="15"/>
  <c r="D15" i="15"/>
  <c r="E14" i="15"/>
  <c r="C8" i="15"/>
  <c r="E10" i="15"/>
  <c r="E13" i="15"/>
  <c r="G9" i="15"/>
  <c r="Q46" i="16" l="1"/>
  <c r="G46" i="16"/>
  <c r="AE46" i="16"/>
  <c r="W46" i="16"/>
  <c r="AA46" i="16"/>
  <c r="S46" i="16"/>
  <c r="H46" i="16"/>
  <c r="K46" i="16"/>
  <c r="I12" i="15"/>
  <c r="AG46" i="16"/>
  <c r="O46" i="16"/>
  <c r="N46" i="16"/>
  <c r="I8" i="15"/>
  <c r="Y46" i="16"/>
  <c r="C46" i="16"/>
  <c r="P46" i="16"/>
  <c r="M46" i="16"/>
  <c r="AD46" i="16"/>
  <c r="Z46" i="16"/>
  <c r="D46" i="16"/>
  <c r="T46" i="16"/>
  <c r="I11" i="15"/>
  <c r="X46" i="16"/>
  <c r="AF46" i="16"/>
  <c r="L46" i="16"/>
  <c r="AB46" i="16"/>
  <c r="F46" i="16"/>
  <c r="R46" i="16"/>
  <c r="AC46" i="16"/>
  <c r="B46" i="16"/>
  <c r="E46" i="16"/>
  <c r="J46" i="16"/>
  <c r="I46" i="16"/>
  <c r="U46" i="16"/>
  <c r="I13" i="15"/>
  <c r="I15" i="15"/>
  <c r="I14" i="15"/>
  <c r="I10" i="15"/>
  <c r="I9" i="15"/>
  <c r="B16" i="15" l="1"/>
  <c r="AK20" i="15" s="1"/>
  <c r="AK21" i="15" s="1"/>
  <c r="G28" i="15" s="1"/>
  <c r="N20" i="15" l="1"/>
  <c r="N21" i="15" s="1"/>
  <c r="B25" i="15" s="1"/>
  <c r="I20" i="15"/>
  <c r="I21" i="15" s="1"/>
  <c r="C24" i="15" s="1"/>
  <c r="AN20" i="15"/>
  <c r="AN21" i="15" s="1"/>
  <c r="D29" i="15" s="1"/>
  <c r="R20" i="15"/>
  <c r="R21" i="15" s="1"/>
  <c r="F25" i="15" s="1"/>
  <c r="V20" i="15"/>
  <c r="V21" i="15" s="1"/>
  <c r="D26" i="15" s="1"/>
  <c r="E20" i="15"/>
  <c r="E21" i="15" s="1"/>
  <c r="E23" i="15" s="1"/>
  <c r="AA20" i="15"/>
  <c r="AA21" i="15" s="1"/>
  <c r="C27" i="15" s="1"/>
  <c r="C20" i="15"/>
  <c r="C21" i="15" s="1"/>
  <c r="C23" i="15" s="1"/>
  <c r="S20" i="15"/>
  <c r="S21" i="15" s="1"/>
  <c r="G25" i="15" s="1"/>
  <c r="AW20" i="15"/>
  <c r="AW21" i="15" s="1"/>
  <c r="G30" i="15" s="1"/>
  <c r="AB20" i="15"/>
  <c r="AB21" i="15" s="1"/>
  <c r="D27" i="15" s="1"/>
  <c r="G20" i="15"/>
  <c r="G21" i="15" s="1"/>
  <c r="G23" i="15" s="1"/>
  <c r="AL20" i="15"/>
  <c r="AL21" i="15" s="1"/>
  <c r="B29" i="15" s="1"/>
  <c r="D20" i="15"/>
  <c r="D21" i="15" s="1"/>
  <c r="D23" i="15" s="1"/>
  <c r="AP20" i="15"/>
  <c r="AP21" i="15" s="1"/>
  <c r="F29" i="15" s="1"/>
  <c r="AD20" i="15"/>
  <c r="AD21" i="15" s="1"/>
  <c r="F27" i="15" s="1"/>
  <c r="Q20" i="15"/>
  <c r="Q21" i="15" s="1"/>
  <c r="E25" i="15" s="1"/>
  <c r="AT20" i="15"/>
  <c r="AT21" i="15" s="1"/>
  <c r="D30" i="15" s="1"/>
  <c r="AR20" i="15"/>
  <c r="AR21" i="15" s="1"/>
  <c r="B30" i="15" s="1"/>
  <c r="O20" i="15"/>
  <c r="O21" i="15" s="1"/>
  <c r="C25" i="15" s="1"/>
  <c r="Z20" i="15"/>
  <c r="Z21" i="15" s="1"/>
  <c r="B27" i="15" s="1"/>
  <c r="AM20" i="15"/>
  <c r="AM21" i="15" s="1"/>
  <c r="C29" i="15" s="1"/>
  <c r="AQ20" i="15"/>
  <c r="AQ21" i="15" s="1"/>
  <c r="G29" i="15" s="1"/>
  <c r="B20" i="15"/>
  <c r="B21" i="15" s="1"/>
  <c r="B23" i="15" s="1"/>
  <c r="J20" i="15"/>
  <c r="J21" i="15" s="1"/>
  <c r="D24" i="15" s="1"/>
  <c r="AV20" i="15"/>
  <c r="AV21" i="15" s="1"/>
  <c r="F30" i="15" s="1"/>
  <c r="L20" i="15"/>
  <c r="L21" i="15" s="1"/>
  <c r="F24" i="15" s="1"/>
  <c r="K20" i="15"/>
  <c r="K21" i="15" s="1"/>
  <c r="E24" i="15" s="1"/>
  <c r="U20" i="15"/>
  <c r="U21" i="15" s="1"/>
  <c r="C26" i="15" s="1"/>
  <c r="Y20" i="15"/>
  <c r="Y21" i="15" s="1"/>
  <c r="G26" i="15" s="1"/>
  <c r="AH20" i="15"/>
  <c r="AH21" i="15" s="1"/>
  <c r="D28" i="15" s="1"/>
  <c r="AE20" i="15"/>
  <c r="AE21" i="15" s="1"/>
  <c r="G27" i="15" s="1"/>
  <c r="T20" i="15"/>
  <c r="T21" i="15" s="1"/>
  <c r="B26" i="15" s="1"/>
  <c r="AJ20" i="15"/>
  <c r="AJ21" i="15" s="1"/>
  <c r="F28" i="15" s="1"/>
  <c r="H20" i="15"/>
  <c r="H21" i="15" s="1"/>
  <c r="B24" i="15" s="1"/>
  <c r="X20" i="15"/>
  <c r="X21" i="15" s="1"/>
  <c r="F26" i="15" s="1"/>
  <c r="AU20" i="15"/>
  <c r="AU21" i="15" s="1"/>
  <c r="E30" i="15" s="1"/>
  <c r="AC20" i="15"/>
  <c r="AC21" i="15" s="1"/>
  <c r="E27" i="15" s="1"/>
  <c r="F20" i="15"/>
  <c r="F21" i="15" s="1"/>
  <c r="F23" i="15" s="1"/>
  <c r="AG20" i="15"/>
  <c r="AG21" i="15" s="1"/>
  <c r="C28" i="15" s="1"/>
  <c r="AI20" i="15"/>
  <c r="AI21" i="15" s="1"/>
  <c r="E28" i="15" s="1"/>
  <c r="AS20" i="15"/>
  <c r="AS21" i="15" s="1"/>
  <c r="C30" i="15" s="1"/>
  <c r="AO20" i="15"/>
  <c r="AO21" i="15" s="1"/>
  <c r="E29" i="15" s="1"/>
  <c r="AF20" i="15"/>
  <c r="AF21" i="15" s="1"/>
  <c r="B28" i="15" s="1"/>
  <c r="H28" i="15" s="1"/>
  <c r="J28" i="15" s="1"/>
  <c r="M20" i="15"/>
  <c r="M21" i="15" s="1"/>
  <c r="G24" i="15" s="1"/>
  <c r="P20" i="15"/>
  <c r="P21" i="15" s="1"/>
  <c r="D25" i="15" s="1"/>
  <c r="W20" i="15"/>
  <c r="W21" i="15" s="1"/>
  <c r="E26" i="15" s="1"/>
  <c r="H30" i="15" l="1"/>
  <c r="J30" i="15" s="1"/>
  <c r="H27" i="15"/>
  <c r="J27" i="15" s="1"/>
  <c r="H23" i="15"/>
  <c r="J23" i="15" s="1"/>
  <c r="I28" i="15"/>
  <c r="K28" i="15" s="1"/>
  <c r="L28" i="15" s="1"/>
  <c r="M28" i="15" s="1"/>
  <c r="I29" i="15"/>
  <c r="K29" i="15" s="1"/>
  <c r="I30" i="15"/>
  <c r="K30" i="15" s="1"/>
  <c r="I24" i="15"/>
  <c r="K24" i="15" s="1"/>
  <c r="I25" i="15"/>
  <c r="K25" i="15" s="1"/>
  <c r="I23" i="15"/>
  <c r="K23" i="15" s="1"/>
  <c r="H24" i="15"/>
  <c r="J24" i="15" s="1"/>
  <c r="I27" i="15"/>
  <c r="K27" i="15" s="1"/>
  <c r="I26" i="15"/>
  <c r="K26" i="15" s="1"/>
  <c r="H26" i="15"/>
  <c r="J26" i="15" s="1"/>
  <c r="H29" i="15"/>
  <c r="J29" i="15" s="1"/>
  <c r="H25" i="15"/>
  <c r="J25" i="15" s="1"/>
  <c r="L23" i="15" l="1"/>
  <c r="M23" i="15" s="1"/>
  <c r="L30" i="15"/>
  <c r="M30" i="15" s="1"/>
  <c r="L27" i="15"/>
  <c r="M27" i="15" s="1"/>
  <c r="L29" i="15"/>
  <c r="M29" i="15" s="1"/>
  <c r="L24" i="15"/>
  <c r="M24" i="15" s="1"/>
  <c r="L25" i="15"/>
  <c r="M25" i="15" s="1"/>
  <c r="L26" i="15"/>
  <c r="M26" i="15" s="1"/>
  <c r="B31" i="15" l="1"/>
  <c r="D35" i="15" s="1"/>
  <c r="F37" i="15" l="1"/>
  <c r="F36" i="15"/>
  <c r="E41" i="15"/>
  <c r="F41" i="15"/>
  <c r="D39" i="15"/>
  <c r="E40" i="15"/>
  <c r="C37" i="15"/>
  <c r="E37" i="15"/>
  <c r="D41" i="15"/>
  <c r="E39" i="15"/>
  <c r="D36" i="15"/>
  <c r="E35" i="15"/>
  <c r="E38" i="15"/>
  <c r="D40" i="15"/>
  <c r="F38" i="15"/>
  <c r="E36" i="15"/>
  <c r="D37" i="15"/>
  <c r="E34" i="15"/>
  <c r="F40" i="15"/>
  <c r="C35" i="15"/>
  <c r="C39" i="15"/>
  <c r="C36" i="15"/>
  <c r="C41" i="15"/>
  <c r="F39" i="15"/>
  <c r="D38" i="15"/>
  <c r="C40" i="15"/>
  <c r="F35" i="15"/>
  <c r="F34" i="15"/>
  <c r="C38" i="15"/>
  <c r="C34" i="15"/>
  <c r="D34" i="15"/>
  <c r="G41" i="15" l="1"/>
  <c r="G35" i="15"/>
  <c r="G38" i="15"/>
  <c r="G34" i="15"/>
  <c r="G36" i="15"/>
  <c r="G40" i="15"/>
  <c r="G39" i="15"/>
  <c r="G37" i="15"/>
  <c r="B43" i="15" l="1"/>
  <c r="T44" i="15" s="1"/>
  <c r="T47" i="15" s="1"/>
  <c r="Y44" i="15" l="1"/>
  <c r="Y47" i="15" s="1"/>
  <c r="Z44" i="15"/>
  <c r="Z47" i="15" s="1"/>
  <c r="K44" i="15"/>
  <c r="K47" i="15" s="1"/>
  <c r="C44" i="15"/>
  <c r="C47" i="15" s="1"/>
  <c r="X44" i="15"/>
  <c r="X47" i="15" s="1"/>
  <c r="AE44" i="15"/>
  <c r="AE47" i="15" s="1"/>
  <c r="V44" i="15"/>
  <c r="V47" i="15" s="1"/>
  <c r="AA44" i="15"/>
  <c r="AA47" i="15" s="1"/>
  <c r="J44" i="15"/>
  <c r="J47" i="15" s="1"/>
  <c r="AD44" i="15"/>
  <c r="AD47" i="15" s="1"/>
  <c r="P44" i="15"/>
  <c r="P47" i="15" s="1"/>
  <c r="E44" i="15"/>
  <c r="E47" i="15" s="1"/>
  <c r="S44" i="15"/>
  <c r="S47" i="15" s="1"/>
  <c r="G44" i="15"/>
  <c r="G47" i="15" s="1"/>
  <c r="R44" i="15"/>
  <c r="R47" i="15" s="1"/>
  <c r="F44" i="15"/>
  <c r="F47" i="15" s="1"/>
  <c r="AB44" i="15"/>
  <c r="AB47" i="15" s="1"/>
  <c r="AC44" i="15"/>
  <c r="AC47" i="15" s="1"/>
  <c r="AF44" i="15"/>
  <c r="AF47" i="15" s="1"/>
  <c r="M44" i="15"/>
  <c r="M47" i="15" s="1"/>
  <c r="AG44" i="15"/>
  <c r="AG47" i="15" s="1"/>
  <c r="L44" i="15"/>
  <c r="L47" i="15" s="1"/>
  <c r="Q44" i="15"/>
  <c r="Q47" i="15" s="1"/>
  <c r="B44" i="15"/>
  <c r="B47" i="15" s="1"/>
  <c r="H44" i="15"/>
  <c r="H47" i="15" s="1"/>
  <c r="O44" i="15"/>
  <c r="O47" i="15" s="1"/>
  <c r="U44" i="15"/>
  <c r="U47" i="15" s="1"/>
  <c r="W44" i="15"/>
  <c r="W47" i="15" s="1"/>
  <c r="I44" i="15"/>
  <c r="I47" i="15" s="1"/>
  <c r="N44" i="15"/>
  <c r="N47" i="15" s="1"/>
  <c r="D44" i="15"/>
  <c r="D47" i="15" s="1"/>
  <c r="V48" i="15" l="1"/>
  <c r="R48" i="15"/>
  <c r="J48" i="15"/>
  <c r="Z48" i="15"/>
  <c r="F48" i="15"/>
  <c r="AD48" i="15"/>
  <c r="N48" i="15"/>
  <c r="B48" i="15"/>
  <c r="B49" i="15" l="1"/>
  <c r="C6" i="16" s="1"/>
  <c r="E10" i="16" s="1"/>
  <c r="B50" i="15"/>
  <c r="C8" i="16"/>
  <c r="F11" i="16"/>
  <c r="D13" i="16"/>
  <c r="C10" i="16"/>
  <c r="L38" i="2"/>
  <c r="C39" i="2" s="1"/>
  <c r="F58" i="2" s="1"/>
  <c r="F76" i="2" s="1"/>
  <c r="H9" i="16"/>
  <c r="H10" i="16"/>
  <c r="E11" i="16"/>
  <c r="E14" i="16"/>
  <c r="D12" i="16"/>
  <c r="F8" i="16"/>
  <c r="G14" i="16"/>
  <c r="G9" i="16"/>
  <c r="H12" i="16"/>
  <c r="C11" i="16"/>
  <c r="G13" i="16"/>
  <c r="E9" i="16"/>
  <c r="G15" i="16"/>
  <c r="D11" i="16"/>
  <c r="D9" i="16"/>
  <c r="H11" i="16"/>
  <c r="F10" i="16"/>
  <c r="D15" i="16"/>
  <c r="G10" i="16"/>
  <c r="H14" i="16"/>
  <c r="G8" i="16"/>
  <c r="F9" i="16"/>
  <c r="C14" i="16"/>
  <c r="E15" i="16"/>
  <c r="C13" i="16"/>
  <c r="H13" i="16"/>
  <c r="D10" i="16"/>
  <c r="G12" i="16"/>
  <c r="E8" i="16"/>
  <c r="D14" i="16"/>
  <c r="E12" i="16"/>
  <c r="B45" i="17"/>
  <c r="B46" i="17" s="1"/>
  <c r="F14" i="16"/>
  <c r="E13" i="16"/>
  <c r="H15" i="16"/>
  <c r="C9" i="16"/>
  <c r="C12" i="16" l="1"/>
  <c r="C15" i="16"/>
  <c r="D8" i="16"/>
  <c r="F12" i="16"/>
  <c r="I12" i="16" s="1"/>
  <c r="H8" i="16"/>
  <c r="F15" i="16"/>
  <c r="I15" i="16" s="1"/>
  <c r="G11" i="16"/>
  <c r="I11" i="16" s="1"/>
  <c r="F13" i="16"/>
  <c r="I13" i="16" s="1"/>
  <c r="I10" i="16"/>
  <c r="O46" i="17"/>
  <c r="AG46" i="17"/>
  <c r="D46" i="17"/>
  <c r="R57" i="2"/>
  <c r="R75" i="2" s="1"/>
  <c r="I14" i="16"/>
  <c r="AC46" i="17"/>
  <c r="Q57" i="2"/>
  <c r="Q75" i="2" s="1"/>
  <c r="J46" i="17"/>
  <c r="Z46" i="17"/>
  <c r="R46" i="17"/>
  <c r="AF46" i="17"/>
  <c r="I9" i="16"/>
  <c r="G46" i="17"/>
  <c r="G58" i="2"/>
  <c r="G76" i="2" s="1"/>
  <c r="AD46" i="17"/>
  <c r="Q46" i="17"/>
  <c r="N57" i="2"/>
  <c r="N75" i="2" s="1"/>
  <c r="T46" i="17"/>
  <c r="I46" i="17"/>
  <c r="AA46" i="17"/>
  <c r="K46" i="17"/>
  <c r="H46" i="17"/>
  <c r="P46" i="17"/>
  <c r="X38" i="2"/>
  <c r="M46" i="17"/>
  <c r="AE46" i="17"/>
  <c r="O57" i="2"/>
  <c r="O75" i="2" s="1"/>
  <c r="M57" i="2"/>
  <c r="M75" i="2" s="1"/>
  <c r="S46" i="17"/>
  <c r="E46" i="17"/>
  <c r="I58" i="2"/>
  <c r="I76" i="2" s="1"/>
  <c r="P57" i="2"/>
  <c r="P75" i="2" s="1"/>
  <c r="L57" i="2"/>
  <c r="L75" i="2" s="1"/>
  <c r="H58" i="2"/>
  <c r="H76" i="2" s="1"/>
  <c r="E58" i="2"/>
  <c r="E76" i="2" s="1"/>
  <c r="C58" i="2"/>
  <c r="C76" i="2" s="1"/>
  <c r="S57" i="2"/>
  <c r="S75" i="2" s="1"/>
  <c r="D58" i="2"/>
  <c r="D76" i="2" s="1"/>
  <c r="J58" i="2"/>
  <c r="J76" i="2" s="1"/>
  <c r="F46" i="17"/>
  <c r="X46" i="17"/>
  <c r="N46" i="17"/>
  <c r="V46" i="17"/>
  <c r="W46" i="17"/>
  <c r="AB46" i="17"/>
  <c r="C46" i="17"/>
  <c r="L46" i="17"/>
  <c r="U46" i="17"/>
  <c r="Y46" i="17"/>
  <c r="I8" i="16" l="1"/>
  <c r="B16" i="16" s="1"/>
  <c r="AL20" i="16" s="1"/>
  <c r="AL21" i="16" s="1"/>
  <c r="B29" i="16" s="1"/>
  <c r="D20" i="16" l="1"/>
  <c r="D21" i="16" s="1"/>
  <c r="D23" i="16" s="1"/>
  <c r="AK20" i="16"/>
  <c r="AK21" i="16" s="1"/>
  <c r="G28" i="16" s="1"/>
  <c r="H20" i="16"/>
  <c r="H21" i="16" s="1"/>
  <c r="B24" i="16" s="1"/>
  <c r="C20" i="16"/>
  <c r="C21" i="16" s="1"/>
  <c r="C23" i="16" s="1"/>
  <c r="F20" i="16"/>
  <c r="F21" i="16" s="1"/>
  <c r="F23" i="16" s="1"/>
  <c r="AS20" i="16"/>
  <c r="AS21" i="16" s="1"/>
  <c r="C30" i="16" s="1"/>
  <c r="AJ20" i="16"/>
  <c r="AJ21" i="16" s="1"/>
  <c r="F28" i="16" s="1"/>
  <c r="N20" i="16"/>
  <c r="N21" i="16" s="1"/>
  <c r="B25" i="16" s="1"/>
  <c r="AW20" i="16"/>
  <c r="AW21" i="16" s="1"/>
  <c r="G30" i="16" s="1"/>
  <c r="Y20" i="16"/>
  <c r="Y21" i="16" s="1"/>
  <c r="G26" i="16" s="1"/>
  <c r="L20" i="16"/>
  <c r="L21" i="16" s="1"/>
  <c r="F24" i="16" s="1"/>
  <c r="E20" i="16"/>
  <c r="E21" i="16" s="1"/>
  <c r="E23" i="16" s="1"/>
  <c r="AU20" i="16"/>
  <c r="AU21" i="16" s="1"/>
  <c r="E30" i="16" s="1"/>
  <c r="AC20" i="16"/>
  <c r="AC21" i="16" s="1"/>
  <c r="E27" i="16" s="1"/>
  <c r="U20" i="16"/>
  <c r="U21" i="16" s="1"/>
  <c r="C26" i="16" s="1"/>
  <c r="AP20" i="16"/>
  <c r="AP21" i="16" s="1"/>
  <c r="F29" i="16" s="1"/>
  <c r="AH20" i="16"/>
  <c r="AH21" i="16" s="1"/>
  <c r="D28" i="16" s="1"/>
  <c r="I20" i="16"/>
  <c r="I21" i="16" s="1"/>
  <c r="C24" i="16" s="1"/>
  <c r="O20" i="16"/>
  <c r="O21" i="16" s="1"/>
  <c r="C25" i="16" s="1"/>
  <c r="AV20" i="16"/>
  <c r="AV21" i="16" s="1"/>
  <c r="F30" i="16" s="1"/>
  <c r="AG20" i="16"/>
  <c r="AG21" i="16" s="1"/>
  <c r="C28" i="16" s="1"/>
  <c r="J20" i="16"/>
  <c r="J21" i="16" s="1"/>
  <c r="D24" i="16" s="1"/>
  <c r="AA20" i="16"/>
  <c r="AA21" i="16" s="1"/>
  <c r="C27" i="16" s="1"/>
  <c r="W20" i="16"/>
  <c r="W21" i="16" s="1"/>
  <c r="E26" i="16" s="1"/>
  <c r="AT20" i="16"/>
  <c r="AT21" i="16" s="1"/>
  <c r="D30" i="16" s="1"/>
  <c r="Q20" i="16"/>
  <c r="Q21" i="16" s="1"/>
  <c r="E25" i="16" s="1"/>
  <c r="P20" i="16"/>
  <c r="P21" i="16" s="1"/>
  <c r="D25" i="16" s="1"/>
  <c r="AE20" i="16"/>
  <c r="AE21" i="16" s="1"/>
  <c r="G27" i="16" s="1"/>
  <c r="AO20" i="16"/>
  <c r="AO21" i="16" s="1"/>
  <c r="E29" i="16" s="1"/>
  <c r="AR20" i="16"/>
  <c r="AR21" i="16" s="1"/>
  <c r="B30" i="16" s="1"/>
  <c r="AI20" i="16"/>
  <c r="AI21" i="16" s="1"/>
  <c r="E28" i="16" s="1"/>
  <c r="AM20" i="16"/>
  <c r="AM21" i="16" s="1"/>
  <c r="C29" i="16" s="1"/>
  <c r="K20" i="16"/>
  <c r="K21" i="16" s="1"/>
  <c r="E24" i="16" s="1"/>
  <c r="T20" i="16"/>
  <c r="T21" i="16" s="1"/>
  <c r="B26" i="16" s="1"/>
  <c r="M20" i="16"/>
  <c r="M21" i="16" s="1"/>
  <c r="G24" i="16" s="1"/>
  <c r="B20" i="16"/>
  <c r="B21" i="16" s="1"/>
  <c r="B23" i="16" s="1"/>
  <c r="R20" i="16"/>
  <c r="R21" i="16" s="1"/>
  <c r="F25" i="16" s="1"/>
  <c r="AD20" i="16"/>
  <c r="AD21" i="16" s="1"/>
  <c r="F27" i="16" s="1"/>
  <c r="X20" i="16"/>
  <c r="X21" i="16" s="1"/>
  <c r="F26" i="16" s="1"/>
  <c r="AN20" i="16"/>
  <c r="AN21" i="16" s="1"/>
  <c r="D29" i="16" s="1"/>
  <c r="S20" i="16"/>
  <c r="S21" i="16" s="1"/>
  <c r="G25" i="16" s="1"/>
  <c r="AF20" i="16"/>
  <c r="AF21" i="16" s="1"/>
  <c r="B28" i="16" s="1"/>
  <c r="G20" i="16"/>
  <c r="G21" i="16" s="1"/>
  <c r="G23" i="16" s="1"/>
  <c r="AQ20" i="16"/>
  <c r="AQ21" i="16" s="1"/>
  <c r="G29" i="16" s="1"/>
  <c r="H29" i="16" s="1"/>
  <c r="J29" i="16" s="1"/>
  <c r="Z20" i="16"/>
  <c r="Z21" i="16" s="1"/>
  <c r="B27" i="16" s="1"/>
  <c r="V20" i="16"/>
  <c r="V21" i="16" s="1"/>
  <c r="D26" i="16" s="1"/>
  <c r="AB20" i="16"/>
  <c r="AB21" i="16" s="1"/>
  <c r="D27" i="16" s="1"/>
  <c r="H30" i="16" l="1"/>
  <c r="J30" i="16" s="1"/>
  <c r="H28" i="16"/>
  <c r="J28" i="16" s="1"/>
  <c r="H26" i="16"/>
  <c r="J26" i="16" s="1"/>
  <c r="H24" i="16"/>
  <c r="J24" i="16" s="1"/>
  <c r="I23" i="16"/>
  <c r="K23" i="16" s="1"/>
  <c r="I30" i="16"/>
  <c r="K30" i="16" s="1"/>
  <c r="L30" i="16" s="1"/>
  <c r="M30" i="16" s="1"/>
  <c r="H27" i="16"/>
  <c r="J27" i="16" s="1"/>
  <c r="I29" i="16"/>
  <c r="K29" i="16" s="1"/>
  <c r="L29" i="16" s="1"/>
  <c r="M29" i="16" s="1"/>
  <c r="I24" i="16"/>
  <c r="K24" i="16" s="1"/>
  <c r="H25" i="16"/>
  <c r="J25" i="16" s="1"/>
  <c r="I27" i="16"/>
  <c r="K27" i="16" s="1"/>
  <c r="H23" i="16"/>
  <c r="J23" i="16" s="1"/>
  <c r="I25" i="16"/>
  <c r="K25" i="16" s="1"/>
  <c r="I28" i="16"/>
  <c r="K28" i="16" s="1"/>
  <c r="I26" i="16"/>
  <c r="K26" i="16" s="1"/>
  <c r="L24" i="16" l="1"/>
  <c r="M24" i="16" s="1"/>
  <c r="L26" i="16"/>
  <c r="M26" i="16" s="1"/>
  <c r="L28" i="16"/>
  <c r="M28" i="16" s="1"/>
  <c r="L27" i="16"/>
  <c r="M27" i="16" s="1"/>
  <c r="L23" i="16"/>
  <c r="M23" i="16" s="1"/>
  <c r="L25" i="16"/>
  <c r="M25" i="16" s="1"/>
  <c r="B31" i="16" l="1"/>
  <c r="E39" i="16" s="1"/>
  <c r="F36" i="16" l="1"/>
  <c r="F37" i="16"/>
  <c r="E38" i="16"/>
  <c r="F34" i="16"/>
  <c r="C40" i="16"/>
  <c r="C41" i="16"/>
  <c r="C39" i="16"/>
  <c r="E40" i="16"/>
  <c r="F40" i="16"/>
  <c r="D40" i="16"/>
  <c r="E37" i="16"/>
  <c r="C37" i="16"/>
  <c r="F41" i="16"/>
  <c r="C35" i="16"/>
  <c r="E35" i="16"/>
  <c r="F39" i="16"/>
  <c r="E36" i="16"/>
  <c r="D38" i="16"/>
  <c r="F38" i="16"/>
  <c r="D35" i="16"/>
  <c r="E34" i="16"/>
  <c r="C36" i="16"/>
  <c r="D36" i="16"/>
  <c r="D41" i="16"/>
  <c r="D34" i="16"/>
  <c r="C34" i="16"/>
  <c r="F35" i="16"/>
  <c r="C38" i="16"/>
  <c r="D37" i="16"/>
  <c r="E41" i="16"/>
  <c r="D39" i="16"/>
  <c r="G37" i="16" l="1"/>
  <c r="G40" i="16"/>
  <c r="G39" i="16"/>
  <c r="G35" i="16"/>
  <c r="G41" i="16"/>
  <c r="G34" i="16"/>
  <c r="G36" i="16"/>
  <c r="G38" i="16"/>
  <c r="B43" i="16" l="1"/>
  <c r="S44" i="16" s="1"/>
  <c r="S47" i="16" s="1"/>
  <c r="W44" i="16" l="1"/>
  <c r="W47" i="16" s="1"/>
  <c r="Q44" i="16"/>
  <c r="Q47" i="16" s="1"/>
  <c r="R44" i="16"/>
  <c r="R47" i="16" s="1"/>
  <c r="I44" i="16"/>
  <c r="I47" i="16" s="1"/>
  <c r="D44" i="16"/>
  <c r="D47" i="16" s="1"/>
  <c r="AC44" i="16"/>
  <c r="AC47" i="16" s="1"/>
  <c r="L44" i="16"/>
  <c r="L47" i="16" s="1"/>
  <c r="AF44" i="16"/>
  <c r="AF47" i="16" s="1"/>
  <c r="M44" i="16"/>
  <c r="M47" i="16" s="1"/>
  <c r="Y44" i="16"/>
  <c r="Y47" i="16" s="1"/>
  <c r="J44" i="16"/>
  <c r="J47" i="16" s="1"/>
  <c r="T44" i="16"/>
  <c r="T47" i="16" s="1"/>
  <c r="F44" i="16"/>
  <c r="F47" i="16" s="1"/>
  <c r="AB44" i="16"/>
  <c r="AB47" i="16" s="1"/>
  <c r="AE44" i="16"/>
  <c r="AE47" i="16" s="1"/>
  <c r="AG44" i="16"/>
  <c r="AG47" i="16" s="1"/>
  <c r="C44" i="16"/>
  <c r="C47" i="16" s="1"/>
  <c r="O44" i="16"/>
  <c r="O47" i="16" s="1"/>
  <c r="Z44" i="16"/>
  <c r="Z47" i="16" s="1"/>
  <c r="U44" i="16"/>
  <c r="U47" i="16" s="1"/>
  <c r="G44" i="16"/>
  <c r="G47" i="16" s="1"/>
  <c r="H44" i="16"/>
  <c r="H47" i="16" s="1"/>
  <c r="X44" i="16"/>
  <c r="X47" i="16" s="1"/>
  <c r="AA44" i="16"/>
  <c r="AA47" i="16" s="1"/>
  <c r="AD44" i="16"/>
  <c r="AD47" i="16" s="1"/>
  <c r="P44" i="16"/>
  <c r="P47" i="16" s="1"/>
  <c r="N44" i="16"/>
  <c r="N47" i="16" s="1"/>
  <c r="E44" i="16"/>
  <c r="E47" i="16" s="1"/>
  <c r="B44" i="16"/>
  <c r="B47" i="16" s="1"/>
  <c r="K44" i="16"/>
  <c r="K47" i="16" s="1"/>
  <c r="V44" i="16"/>
  <c r="V47" i="16" s="1"/>
  <c r="R48" i="16" l="1"/>
  <c r="B48" i="16"/>
  <c r="N48" i="16"/>
  <c r="V48" i="16"/>
  <c r="AD48" i="16"/>
  <c r="J48" i="16"/>
  <c r="Z48" i="16"/>
  <c r="F48" i="16"/>
  <c r="B50" i="16" l="1"/>
  <c r="B49" i="16"/>
  <c r="C6" i="17" s="1"/>
  <c r="F11" i="17" s="1"/>
  <c r="L39" i="2"/>
  <c r="C40" i="2" s="1"/>
  <c r="D59" i="2" s="1"/>
  <c r="D77" i="2" s="1"/>
  <c r="F8" i="17" l="1"/>
  <c r="C8" i="17"/>
  <c r="C12" i="17"/>
  <c r="C13" i="17"/>
  <c r="D10" i="17"/>
  <c r="E9" i="17"/>
  <c r="D11" i="17"/>
  <c r="H9" i="17"/>
  <c r="C14" i="17"/>
  <c r="G14" i="17"/>
  <c r="F10" i="17"/>
  <c r="H13" i="17"/>
  <c r="D9" i="17"/>
  <c r="E11" i="17"/>
  <c r="E15" i="17"/>
  <c r="C10" i="17"/>
  <c r="F14" i="17"/>
  <c r="H10" i="17"/>
  <c r="D8" i="17"/>
  <c r="B45" i="18"/>
  <c r="AG46" i="18" s="1"/>
  <c r="D15" i="17"/>
  <c r="G9" i="17"/>
  <c r="H15" i="17"/>
  <c r="C11" i="17"/>
  <c r="E8" i="17"/>
  <c r="H11" i="17"/>
  <c r="F9" i="17"/>
  <c r="G11" i="17"/>
  <c r="G13" i="17"/>
  <c r="E14" i="17"/>
  <c r="G12" i="17"/>
  <c r="E13" i="17"/>
  <c r="F12" i="17"/>
  <c r="G8" i="17"/>
  <c r="C15" i="17"/>
  <c r="D14" i="17"/>
  <c r="H12" i="17"/>
  <c r="E10" i="17"/>
  <c r="E12" i="17"/>
  <c r="G10" i="17"/>
  <c r="F13" i="17"/>
  <c r="H8" i="17"/>
  <c r="D13" i="17"/>
  <c r="F15" i="17"/>
  <c r="H14" i="17"/>
  <c r="G15" i="17"/>
  <c r="D12" i="17"/>
  <c r="C9" i="17"/>
  <c r="L58" i="2"/>
  <c r="L76" i="2" s="1"/>
  <c r="R58" i="2"/>
  <c r="R76" i="2" s="1"/>
  <c r="O58" i="2"/>
  <c r="O76" i="2" s="1"/>
  <c r="N58" i="2"/>
  <c r="N76" i="2" s="1"/>
  <c r="M58" i="2"/>
  <c r="M76" i="2" s="1"/>
  <c r="X39" i="2"/>
  <c r="Q58" i="2"/>
  <c r="Q76" i="2" s="1"/>
  <c r="P58" i="2"/>
  <c r="P76" i="2" s="1"/>
  <c r="S58" i="2"/>
  <c r="S76" i="2" s="1"/>
  <c r="I59" i="2"/>
  <c r="I77" i="2" s="1"/>
  <c r="F59" i="2"/>
  <c r="F77" i="2" s="1"/>
  <c r="E59" i="2"/>
  <c r="E77" i="2" s="1"/>
  <c r="H59" i="2"/>
  <c r="H77" i="2" s="1"/>
  <c r="C59" i="2"/>
  <c r="C77" i="2" s="1"/>
  <c r="J59" i="2"/>
  <c r="J77" i="2" s="1"/>
  <c r="G59" i="2"/>
  <c r="G77" i="2" s="1"/>
  <c r="G46" i="18" l="1"/>
  <c r="AF46" i="18"/>
  <c r="S46" i="18"/>
  <c r="U46" i="18"/>
  <c r="E46" i="18"/>
  <c r="W46" i="18"/>
  <c r="R46" i="18"/>
  <c r="K46" i="18"/>
  <c r="F46" i="18"/>
  <c r="I46" i="18"/>
  <c r="AD46" i="18"/>
  <c r="AB46" i="18"/>
  <c r="AC46" i="18"/>
  <c r="C46" i="18"/>
  <c r="P46" i="18"/>
  <c r="AA46" i="18"/>
  <c r="X46" i="18"/>
  <c r="D46" i="18"/>
  <c r="J46" i="18"/>
  <c r="Z46" i="18"/>
  <c r="N46" i="18"/>
  <c r="Y46" i="18"/>
  <c r="Q46" i="18"/>
  <c r="I9" i="17"/>
  <c r="H46" i="18"/>
  <c r="L46" i="18"/>
  <c r="M46" i="18"/>
  <c r="I10" i="17"/>
  <c r="I8" i="17"/>
  <c r="I11" i="17"/>
  <c r="I15" i="17"/>
  <c r="B46" i="18"/>
  <c r="I12" i="17"/>
  <c r="I14" i="17"/>
  <c r="O46" i="18"/>
  <c r="AE46" i="18"/>
  <c r="T46" i="18"/>
  <c r="V46" i="18"/>
  <c r="I13" i="17"/>
  <c r="B16" i="17" l="1"/>
  <c r="AU20" i="17" s="1"/>
  <c r="AU21" i="17" s="1"/>
  <c r="E30" i="17" s="1"/>
  <c r="T20" i="17"/>
  <c r="T21" i="17" s="1"/>
  <c r="B26" i="17" s="1"/>
  <c r="K20" i="17"/>
  <c r="K21" i="17" s="1"/>
  <c r="E24" i="17" s="1"/>
  <c r="J20" i="17"/>
  <c r="J21" i="17" s="1"/>
  <c r="D24" i="17" s="1"/>
  <c r="AR20" i="17"/>
  <c r="AR21" i="17" s="1"/>
  <c r="B30" i="17" s="1"/>
  <c r="AK20" i="17"/>
  <c r="AK21" i="17" s="1"/>
  <c r="G28" i="17" s="1"/>
  <c r="E20" i="17"/>
  <c r="E21" i="17" s="1"/>
  <c r="E23" i="17" s="1"/>
  <c r="AS20" i="17"/>
  <c r="AS21" i="17" s="1"/>
  <c r="C30" i="17" s="1"/>
  <c r="AB20" i="17"/>
  <c r="AB21" i="17" s="1"/>
  <c r="D27" i="17" s="1"/>
  <c r="L20" i="17"/>
  <c r="L21" i="17" s="1"/>
  <c r="F24" i="17" s="1"/>
  <c r="B20" i="17" l="1"/>
  <c r="B21" i="17" s="1"/>
  <c r="B23" i="17" s="1"/>
  <c r="AH20" i="17"/>
  <c r="AH21" i="17" s="1"/>
  <c r="D28" i="17" s="1"/>
  <c r="W20" i="17"/>
  <c r="W21" i="17" s="1"/>
  <c r="E26" i="17" s="1"/>
  <c r="AM20" i="17"/>
  <c r="AM21" i="17" s="1"/>
  <c r="C29" i="17" s="1"/>
  <c r="Y20" i="17"/>
  <c r="Y21" i="17" s="1"/>
  <c r="G26" i="17" s="1"/>
  <c r="AI20" i="17"/>
  <c r="AI21" i="17" s="1"/>
  <c r="E28" i="17" s="1"/>
  <c r="AF20" i="17"/>
  <c r="AF21" i="17" s="1"/>
  <c r="B28" i="17" s="1"/>
  <c r="H28" i="17" s="1"/>
  <c r="J28" i="17" s="1"/>
  <c r="AE20" i="17"/>
  <c r="AE21" i="17" s="1"/>
  <c r="G27" i="17" s="1"/>
  <c r="P20" i="17"/>
  <c r="P21" i="17" s="1"/>
  <c r="D25" i="17" s="1"/>
  <c r="O20" i="17"/>
  <c r="O21" i="17" s="1"/>
  <c r="C25" i="17" s="1"/>
  <c r="D20" i="17"/>
  <c r="D21" i="17" s="1"/>
  <c r="D23" i="17" s="1"/>
  <c r="AO20" i="17"/>
  <c r="AO21" i="17" s="1"/>
  <c r="E29" i="17" s="1"/>
  <c r="U20" i="17"/>
  <c r="U21" i="17" s="1"/>
  <c r="C26" i="17" s="1"/>
  <c r="Q20" i="17"/>
  <c r="Q21" i="17" s="1"/>
  <c r="E25" i="17" s="1"/>
  <c r="N20" i="17"/>
  <c r="N21" i="17" s="1"/>
  <c r="B25" i="17" s="1"/>
  <c r="V20" i="17"/>
  <c r="V21" i="17" s="1"/>
  <c r="D26" i="17" s="1"/>
  <c r="AC20" i="17"/>
  <c r="AC21" i="17" s="1"/>
  <c r="E27" i="17" s="1"/>
  <c r="AN20" i="17"/>
  <c r="AN21" i="17" s="1"/>
  <c r="D29" i="17" s="1"/>
  <c r="AV20" i="17"/>
  <c r="AV21" i="17" s="1"/>
  <c r="F30" i="17" s="1"/>
  <c r="AJ20" i="17"/>
  <c r="AJ21" i="17" s="1"/>
  <c r="F28" i="17" s="1"/>
  <c r="AQ20" i="17"/>
  <c r="AQ21" i="17" s="1"/>
  <c r="G29" i="17" s="1"/>
  <c r="H20" i="17"/>
  <c r="H21" i="17" s="1"/>
  <c r="B24" i="17" s="1"/>
  <c r="M20" i="17"/>
  <c r="M21" i="17" s="1"/>
  <c r="G24" i="17" s="1"/>
  <c r="AP20" i="17"/>
  <c r="AP21" i="17" s="1"/>
  <c r="F29" i="17" s="1"/>
  <c r="C20" i="17"/>
  <c r="C21" i="17" s="1"/>
  <c r="C23" i="17" s="1"/>
  <c r="R20" i="17"/>
  <c r="R21" i="17" s="1"/>
  <c r="F25" i="17" s="1"/>
  <c r="G20" i="17"/>
  <c r="G21" i="17" s="1"/>
  <c r="G23" i="17" s="1"/>
  <c r="H23" i="17" s="1"/>
  <c r="J23" i="17" s="1"/>
  <c r="I20" i="17"/>
  <c r="I21" i="17" s="1"/>
  <c r="C24" i="17" s="1"/>
  <c r="I24" i="17" s="1"/>
  <c r="K24" i="17" s="1"/>
  <c r="AA20" i="17"/>
  <c r="AA21" i="17" s="1"/>
  <c r="C27" i="17" s="1"/>
  <c r="AG20" i="17"/>
  <c r="AG21" i="17" s="1"/>
  <c r="C28" i="17" s="1"/>
  <c r="I28" i="17" s="1"/>
  <c r="K28" i="17" s="1"/>
  <c r="X20" i="17"/>
  <c r="X21" i="17" s="1"/>
  <c r="F26" i="17" s="1"/>
  <c r="F20" i="17"/>
  <c r="F21" i="17" s="1"/>
  <c r="F23" i="17" s="1"/>
  <c r="S20" i="17"/>
  <c r="S21" i="17" s="1"/>
  <c r="G25" i="17" s="1"/>
  <c r="AT20" i="17"/>
  <c r="AT21" i="17" s="1"/>
  <c r="D30" i="17" s="1"/>
  <c r="AD20" i="17"/>
  <c r="AD21" i="17" s="1"/>
  <c r="F27" i="17" s="1"/>
  <c r="AW20" i="17"/>
  <c r="AW21" i="17" s="1"/>
  <c r="G30" i="17" s="1"/>
  <c r="H30" i="17" s="1"/>
  <c r="J30" i="17" s="1"/>
  <c r="Z20" i="17"/>
  <c r="Z21" i="17" s="1"/>
  <c r="B27" i="17" s="1"/>
  <c r="AL20" i="17"/>
  <c r="AL21" i="17" s="1"/>
  <c r="B29" i="17" s="1"/>
  <c r="H29" i="17" s="1"/>
  <c r="J29" i="17" s="1"/>
  <c r="H26" i="17"/>
  <c r="J26" i="17" s="1"/>
  <c r="I27" i="17" l="1"/>
  <c r="K27" i="17" s="1"/>
  <c r="H25" i="17"/>
  <c r="J25" i="17" s="1"/>
  <c r="I30" i="17"/>
  <c r="K30" i="17" s="1"/>
  <c r="H24" i="17"/>
  <c r="J24" i="17" s="1"/>
  <c r="L24" i="17" s="1"/>
  <c r="M24" i="17" s="1"/>
  <c r="I26" i="17"/>
  <c r="K26" i="17" s="1"/>
  <c r="L26" i="17" s="1"/>
  <c r="M26" i="17" s="1"/>
  <c r="I29" i="17"/>
  <c r="K29" i="17" s="1"/>
  <c r="L29" i="17" s="1"/>
  <c r="M29" i="17" s="1"/>
  <c r="I25" i="17"/>
  <c r="K25" i="17" s="1"/>
  <c r="L25" i="17" s="1"/>
  <c r="M25" i="17" s="1"/>
  <c r="I23" i="17"/>
  <c r="K23" i="17" s="1"/>
  <c r="L23" i="17" s="1"/>
  <c r="M23" i="17" s="1"/>
  <c r="H27" i="17"/>
  <c r="J27" i="17" s="1"/>
  <c r="L27" i="17" s="1"/>
  <c r="M27" i="17" s="1"/>
  <c r="L30" i="17"/>
  <c r="M30" i="17" s="1"/>
  <c r="L28" i="17"/>
  <c r="M28" i="17" s="1"/>
  <c r="B31" i="17" l="1"/>
  <c r="E35" i="17" s="1"/>
  <c r="C34" i="17" l="1"/>
  <c r="F36" i="17"/>
  <c r="C41" i="17"/>
  <c r="D41" i="17"/>
  <c r="E40" i="17"/>
  <c r="F37" i="17"/>
  <c r="C38" i="17"/>
  <c r="C39" i="17"/>
  <c r="E36" i="17"/>
  <c r="F41" i="17"/>
  <c r="F34" i="17"/>
  <c r="C37" i="17"/>
  <c r="D35" i="17"/>
  <c r="C35" i="17"/>
  <c r="E34" i="17"/>
  <c r="D34" i="17"/>
  <c r="D36" i="17"/>
  <c r="D40" i="17"/>
  <c r="D39" i="17"/>
  <c r="E37" i="17"/>
  <c r="E41" i="17"/>
  <c r="C40" i="17"/>
  <c r="F35" i="17"/>
  <c r="C36" i="17"/>
  <c r="E39" i="17"/>
  <c r="F40" i="17"/>
  <c r="F38" i="17"/>
  <c r="E38" i="17"/>
  <c r="D38" i="17"/>
  <c r="D37" i="17"/>
  <c r="F39" i="17"/>
  <c r="G34" i="17" l="1"/>
  <c r="G35" i="17"/>
  <c r="G38" i="17"/>
  <c r="G40" i="17"/>
  <c r="G36" i="17"/>
  <c r="G39" i="17"/>
  <c r="G37" i="17"/>
  <c r="G41" i="17"/>
  <c r="B43" i="17" l="1"/>
  <c r="V44" i="17" s="1"/>
  <c r="V47" i="17" s="1"/>
  <c r="AC44" i="17" l="1"/>
  <c r="AC47" i="17" s="1"/>
  <c r="S44" i="17"/>
  <c r="S47" i="17" s="1"/>
  <c r="T44" i="17"/>
  <c r="T47" i="17" s="1"/>
  <c r="I44" i="17"/>
  <c r="I47" i="17" s="1"/>
  <c r="W44" i="17"/>
  <c r="W47" i="17" s="1"/>
  <c r="L44" i="17"/>
  <c r="L47" i="17" s="1"/>
  <c r="R44" i="17"/>
  <c r="R47" i="17" s="1"/>
  <c r="AG44" i="17"/>
  <c r="AG47" i="17" s="1"/>
  <c r="Q44" i="17"/>
  <c r="Q47" i="17" s="1"/>
  <c r="X44" i="17"/>
  <c r="X47" i="17" s="1"/>
  <c r="G44" i="17"/>
  <c r="G47" i="17" s="1"/>
  <c r="AF44" i="17"/>
  <c r="AF47" i="17" s="1"/>
  <c r="U44" i="17"/>
  <c r="U47" i="17" s="1"/>
  <c r="E44" i="17"/>
  <c r="E47" i="17" s="1"/>
  <c r="B44" i="17"/>
  <c r="B47" i="17" s="1"/>
  <c r="D44" i="17"/>
  <c r="D47" i="17" s="1"/>
  <c r="AB44" i="17"/>
  <c r="AB47" i="17" s="1"/>
  <c r="Y44" i="17"/>
  <c r="Y47" i="17" s="1"/>
  <c r="AA44" i="17"/>
  <c r="AA47" i="17" s="1"/>
  <c r="J44" i="17"/>
  <c r="J47" i="17" s="1"/>
  <c r="AE44" i="17"/>
  <c r="AE47" i="17" s="1"/>
  <c r="C44" i="17"/>
  <c r="C47" i="17" s="1"/>
  <c r="M44" i="17"/>
  <c r="M47" i="17" s="1"/>
  <c r="H44" i="17"/>
  <c r="H47" i="17" s="1"/>
  <c r="O44" i="17"/>
  <c r="O47" i="17" s="1"/>
  <c r="AD44" i="17"/>
  <c r="AD47" i="17" s="1"/>
  <c r="Z44" i="17"/>
  <c r="Z47" i="17" s="1"/>
  <c r="P44" i="17"/>
  <c r="P47" i="17" s="1"/>
  <c r="K44" i="17"/>
  <c r="K47" i="17" s="1"/>
  <c r="F44" i="17"/>
  <c r="F47" i="17" s="1"/>
  <c r="N44" i="17"/>
  <c r="N47" i="17" s="1"/>
  <c r="V48" i="17" l="1"/>
  <c r="R48" i="17"/>
  <c r="J48" i="17"/>
  <c r="Z48" i="17"/>
  <c r="F48" i="17"/>
  <c r="AD48" i="17"/>
  <c r="N48" i="17"/>
  <c r="B48" i="17"/>
  <c r="B49" i="17" l="1"/>
  <c r="L40" i="2" s="1"/>
  <c r="B50" i="17"/>
  <c r="C6" i="18" l="1"/>
  <c r="G9" i="18" s="1"/>
  <c r="C14" i="18"/>
  <c r="X40" i="2"/>
  <c r="N59" i="2"/>
  <c r="N77" i="2" s="1"/>
  <c r="R59" i="2"/>
  <c r="R77" i="2" s="1"/>
  <c r="Q59" i="2"/>
  <c r="Q77" i="2" s="1"/>
  <c r="C41" i="2"/>
  <c r="H60" i="2" s="1"/>
  <c r="H78" i="2" s="1"/>
  <c r="O59" i="2"/>
  <c r="O77" i="2" s="1"/>
  <c r="M59" i="2"/>
  <c r="M77" i="2" s="1"/>
  <c r="L59" i="2"/>
  <c r="L77" i="2" s="1"/>
  <c r="P59" i="2"/>
  <c r="P77" i="2" s="1"/>
  <c r="S59" i="2"/>
  <c r="S77" i="2" s="1"/>
  <c r="E11" i="18"/>
  <c r="D15" i="18"/>
  <c r="F10" i="18"/>
  <c r="D14" i="18"/>
  <c r="E8" i="18"/>
  <c r="F8" i="18"/>
  <c r="H13" i="18"/>
  <c r="H9" i="18"/>
  <c r="E13" i="18"/>
  <c r="H15" i="18"/>
  <c r="D9" i="18"/>
  <c r="G14" i="18"/>
  <c r="B45" i="19"/>
  <c r="F60" i="2" l="1"/>
  <c r="F78" i="2" s="1"/>
  <c r="H11" i="18"/>
  <c r="E15" i="18"/>
  <c r="C10" i="18"/>
  <c r="G12" i="18"/>
  <c r="C15" i="18"/>
  <c r="H10" i="18"/>
  <c r="H8" i="18"/>
  <c r="F12" i="18"/>
  <c r="C13" i="18"/>
  <c r="D10" i="18"/>
  <c r="E10" i="18"/>
  <c r="F11" i="18"/>
  <c r="E14" i="18"/>
  <c r="H14" i="18"/>
  <c r="F9" i="18"/>
  <c r="F14" i="18"/>
  <c r="F15" i="18"/>
  <c r="G8" i="18"/>
  <c r="D13" i="18"/>
  <c r="E9" i="18"/>
  <c r="F13" i="18"/>
  <c r="D11" i="18"/>
  <c r="E12" i="18"/>
  <c r="D8" i="18"/>
  <c r="G11" i="18"/>
  <c r="G10" i="18"/>
  <c r="H12" i="18"/>
  <c r="C8" i="18"/>
  <c r="G13" i="18"/>
  <c r="G15" i="18"/>
  <c r="C11" i="18"/>
  <c r="C9" i="18"/>
  <c r="D12" i="18"/>
  <c r="C12" i="18"/>
  <c r="D60" i="2"/>
  <c r="D78" i="2" s="1"/>
  <c r="C60" i="2"/>
  <c r="C78" i="2" s="1"/>
  <c r="E60" i="2"/>
  <c r="E78" i="2" s="1"/>
  <c r="G60" i="2"/>
  <c r="G78" i="2" s="1"/>
  <c r="I60" i="2"/>
  <c r="I78" i="2" s="1"/>
  <c r="J60" i="2"/>
  <c r="J78" i="2" s="1"/>
  <c r="AE46" i="19"/>
  <c r="AF46" i="19"/>
  <c r="H46" i="19"/>
  <c r="G46" i="19"/>
  <c r="Y46" i="19"/>
  <c r="P46" i="19"/>
  <c r="T46" i="19"/>
  <c r="R46" i="19"/>
  <c r="W46" i="19"/>
  <c r="K46" i="19"/>
  <c r="O46" i="19"/>
  <c r="J46" i="19"/>
  <c r="AG46" i="19"/>
  <c r="AC46" i="19"/>
  <c r="U46" i="19"/>
  <c r="AD46" i="19"/>
  <c r="X46" i="19"/>
  <c r="I46" i="19"/>
  <c r="D46" i="19"/>
  <c r="N46" i="19"/>
  <c r="M46" i="19"/>
  <c r="C46" i="19"/>
  <c r="L46" i="19"/>
  <c r="Z46" i="19"/>
  <c r="AA46" i="19"/>
  <c r="F46" i="19"/>
  <c r="E46" i="19"/>
  <c r="B46" i="19"/>
  <c r="AB46" i="19"/>
  <c r="S46" i="19"/>
  <c r="Q46" i="19"/>
  <c r="V46" i="19"/>
  <c r="I8" i="18" l="1"/>
  <c r="I13" i="18"/>
  <c r="I10" i="18"/>
  <c r="I14" i="18"/>
  <c r="I9" i="18"/>
  <c r="I11" i="18"/>
  <c r="I15" i="18"/>
  <c r="I12" i="18"/>
  <c r="B16" i="18" l="1"/>
  <c r="E20" i="18" s="1"/>
  <c r="E21" i="18" s="1"/>
  <c r="E23" i="18" s="1"/>
  <c r="N20" i="18"/>
  <c r="N21" i="18" s="1"/>
  <c r="B25" i="18" s="1"/>
  <c r="AJ20" i="18"/>
  <c r="AJ21" i="18" s="1"/>
  <c r="F28" i="18" s="1"/>
  <c r="AP20" i="18"/>
  <c r="AP21" i="18" s="1"/>
  <c r="F29" i="18" s="1"/>
  <c r="AG20" i="18"/>
  <c r="AG21" i="18" s="1"/>
  <c r="C28" i="18" s="1"/>
  <c r="W20" i="18"/>
  <c r="W21" i="18" s="1"/>
  <c r="E26" i="18" s="1"/>
  <c r="AI20" i="18"/>
  <c r="AI21" i="18" s="1"/>
  <c r="E28" i="18" s="1"/>
  <c r="AH20" i="18"/>
  <c r="AH21" i="18" s="1"/>
  <c r="D28" i="18" s="1"/>
  <c r="J20" i="18"/>
  <c r="J21" i="18" s="1"/>
  <c r="D24" i="18" s="1"/>
  <c r="AK20" i="18"/>
  <c r="AK21" i="18" s="1"/>
  <c r="G28" i="18" s="1"/>
  <c r="P20" i="18"/>
  <c r="P21" i="18" s="1"/>
  <c r="D25" i="18" s="1"/>
  <c r="F20" i="18"/>
  <c r="F21" i="18" s="1"/>
  <c r="F23" i="18" s="1"/>
  <c r="AF20" i="18"/>
  <c r="AF21" i="18" s="1"/>
  <c r="B28" i="18" s="1"/>
  <c r="V20" i="18"/>
  <c r="V21" i="18" s="1"/>
  <c r="D26" i="18" s="1"/>
  <c r="C20" i="18"/>
  <c r="C21" i="18" s="1"/>
  <c r="C23" i="18" s="1"/>
  <c r="L20" i="18"/>
  <c r="L21" i="18" s="1"/>
  <c r="F24" i="18" s="1"/>
  <c r="M20" i="18"/>
  <c r="M21" i="18" s="1"/>
  <c r="G24" i="18" s="1"/>
  <c r="AA20" i="18"/>
  <c r="AA21" i="18" s="1"/>
  <c r="C27" i="18" s="1"/>
  <c r="Q20" i="18"/>
  <c r="Q21" i="18" s="1"/>
  <c r="E25" i="18" s="1"/>
  <c r="AE20" i="18" l="1"/>
  <c r="AE21" i="18" s="1"/>
  <c r="G27" i="18" s="1"/>
  <c r="Y20" i="18"/>
  <c r="Y21" i="18" s="1"/>
  <c r="G26" i="18" s="1"/>
  <c r="U20" i="18"/>
  <c r="U21" i="18" s="1"/>
  <c r="C26" i="18" s="1"/>
  <c r="I28" i="18"/>
  <c r="K28" i="18" s="1"/>
  <c r="AN20" i="18"/>
  <c r="AN21" i="18" s="1"/>
  <c r="D29" i="18" s="1"/>
  <c r="X20" i="18"/>
  <c r="X21" i="18" s="1"/>
  <c r="F26" i="18" s="1"/>
  <c r="I20" i="18"/>
  <c r="I21" i="18" s="1"/>
  <c r="C24" i="18" s="1"/>
  <c r="S20" i="18"/>
  <c r="S21" i="18" s="1"/>
  <c r="G25" i="18" s="1"/>
  <c r="H25" i="18" s="1"/>
  <c r="J25" i="18" s="1"/>
  <c r="AT20" i="18"/>
  <c r="AT21" i="18" s="1"/>
  <c r="D30" i="18" s="1"/>
  <c r="AV20" i="18"/>
  <c r="AV21" i="18" s="1"/>
  <c r="F30" i="18" s="1"/>
  <c r="AB20" i="18"/>
  <c r="AB21" i="18" s="1"/>
  <c r="D27" i="18" s="1"/>
  <c r="K20" i="18"/>
  <c r="K21" i="18" s="1"/>
  <c r="E24" i="18" s="1"/>
  <c r="O20" i="18"/>
  <c r="O21" i="18" s="1"/>
  <c r="C25" i="18" s="1"/>
  <c r="AD20" i="18"/>
  <c r="AD21" i="18" s="1"/>
  <c r="F27" i="18" s="1"/>
  <c r="AW20" i="18"/>
  <c r="AW21" i="18" s="1"/>
  <c r="G30" i="18" s="1"/>
  <c r="AC20" i="18"/>
  <c r="AC21" i="18" s="1"/>
  <c r="E27" i="18" s="1"/>
  <c r="AS20" i="18"/>
  <c r="AS21" i="18" s="1"/>
  <c r="C30" i="18" s="1"/>
  <c r="AQ20" i="18"/>
  <c r="AQ21" i="18" s="1"/>
  <c r="G29" i="18" s="1"/>
  <c r="Z20" i="18"/>
  <c r="Z21" i="18" s="1"/>
  <c r="B27" i="18" s="1"/>
  <c r="H27" i="18" s="1"/>
  <c r="J27" i="18" s="1"/>
  <c r="AO20" i="18"/>
  <c r="AO21" i="18" s="1"/>
  <c r="E29" i="18" s="1"/>
  <c r="H20" i="18"/>
  <c r="H21" i="18" s="1"/>
  <c r="B24" i="18" s="1"/>
  <c r="R20" i="18"/>
  <c r="R21" i="18" s="1"/>
  <c r="F25" i="18" s="1"/>
  <c r="AL20" i="18"/>
  <c r="AL21" i="18" s="1"/>
  <c r="B29" i="18" s="1"/>
  <c r="G20" i="18"/>
  <c r="G21" i="18" s="1"/>
  <c r="G23" i="18" s="1"/>
  <c r="D20" i="18"/>
  <c r="D21" i="18" s="1"/>
  <c r="D23" i="18" s="1"/>
  <c r="I23" i="18" s="1"/>
  <c r="K23" i="18" s="1"/>
  <c r="B20" i="18"/>
  <c r="B21" i="18" s="1"/>
  <c r="B23" i="18" s="1"/>
  <c r="AR20" i="18"/>
  <c r="AR21" i="18" s="1"/>
  <c r="B30" i="18" s="1"/>
  <c r="AM20" i="18"/>
  <c r="AM21" i="18" s="1"/>
  <c r="C29" i="18" s="1"/>
  <c r="AU20" i="18"/>
  <c r="AU21" i="18" s="1"/>
  <c r="E30" i="18" s="1"/>
  <c r="T20" i="18"/>
  <c r="T21" i="18" s="1"/>
  <c r="B26" i="18" s="1"/>
  <c r="H26" i="18" s="1"/>
  <c r="J26" i="18" s="1"/>
  <c r="H24" i="18"/>
  <c r="J24" i="18" s="1"/>
  <c r="H28" i="18"/>
  <c r="J28" i="18" s="1"/>
  <c r="L28" i="18" s="1"/>
  <c r="M28" i="18" s="1"/>
  <c r="I25" i="18" l="1"/>
  <c r="K25" i="18" s="1"/>
  <c r="I26" i="18"/>
  <c r="K26" i="18" s="1"/>
  <c r="I29" i="18"/>
  <c r="K29" i="18" s="1"/>
  <c r="H23" i="18"/>
  <c r="J23" i="18" s="1"/>
  <c r="H29" i="18"/>
  <c r="J29" i="18" s="1"/>
  <c r="L29" i="18" s="1"/>
  <c r="M29" i="18" s="1"/>
  <c r="H30" i="18"/>
  <c r="J30" i="18" s="1"/>
  <c r="I27" i="18"/>
  <c r="K27" i="18" s="1"/>
  <c r="L27" i="18" s="1"/>
  <c r="M27" i="18" s="1"/>
  <c r="I24" i="18"/>
  <c r="K24" i="18" s="1"/>
  <c r="L24" i="18" s="1"/>
  <c r="M24" i="18" s="1"/>
  <c r="I30" i="18"/>
  <c r="K30" i="18" s="1"/>
  <c r="L30" i="18" s="1"/>
  <c r="M30" i="18" s="1"/>
  <c r="L26" i="18"/>
  <c r="M26" i="18" s="1"/>
  <c r="L25" i="18"/>
  <c r="M25" i="18" s="1"/>
  <c r="L23" i="18"/>
  <c r="M23" i="18" s="1"/>
  <c r="B31" i="18" l="1"/>
  <c r="D40" i="18" s="1"/>
  <c r="F37" i="18" l="1"/>
  <c r="C34" i="18"/>
  <c r="E38" i="18"/>
  <c r="D36" i="18"/>
  <c r="C38" i="18"/>
  <c r="F38" i="18"/>
  <c r="C41" i="18"/>
  <c r="D39" i="18"/>
  <c r="F39" i="18"/>
  <c r="F35" i="18"/>
  <c r="E34" i="18"/>
  <c r="E39" i="18"/>
  <c r="C36" i="18"/>
  <c r="F40" i="18"/>
  <c r="D38" i="18"/>
  <c r="G38" i="18" s="1"/>
  <c r="D34" i="18"/>
  <c r="C39" i="18"/>
  <c r="F36" i="18"/>
  <c r="E35" i="18"/>
  <c r="D37" i="18"/>
  <c r="D41" i="18"/>
  <c r="D35" i="18"/>
  <c r="E37" i="18"/>
  <c r="C40" i="18"/>
  <c r="C37" i="18"/>
  <c r="E41" i="18"/>
  <c r="F41" i="18"/>
  <c r="F34" i="18"/>
  <c r="E40" i="18"/>
  <c r="C35" i="18"/>
  <c r="E36" i="18"/>
  <c r="G39" i="18" l="1"/>
  <c r="G35" i="18"/>
  <c r="G40" i="18"/>
  <c r="G41" i="18"/>
  <c r="G37" i="18"/>
  <c r="G36" i="18"/>
  <c r="G34" i="18"/>
  <c r="B43" i="18" l="1"/>
  <c r="AC44" i="18" s="1"/>
  <c r="AC47" i="18" s="1"/>
  <c r="X44" i="18" l="1"/>
  <c r="X47" i="18" s="1"/>
  <c r="P44" i="18"/>
  <c r="P47" i="18" s="1"/>
  <c r="AF44" i="18"/>
  <c r="AF47" i="18" s="1"/>
  <c r="Z44" i="18"/>
  <c r="Z47" i="18" s="1"/>
  <c r="O44" i="18"/>
  <c r="O47" i="18" s="1"/>
  <c r="AE44" i="18"/>
  <c r="AE47" i="18" s="1"/>
  <c r="V44" i="18"/>
  <c r="V47" i="18" s="1"/>
  <c r="AA44" i="18"/>
  <c r="AA47" i="18" s="1"/>
  <c r="AB44" i="18"/>
  <c r="AB47" i="18" s="1"/>
  <c r="F44" i="18"/>
  <c r="F47" i="18" s="1"/>
  <c r="D44" i="18"/>
  <c r="D47" i="18" s="1"/>
  <c r="G44" i="18"/>
  <c r="G47" i="18" s="1"/>
  <c r="M44" i="18"/>
  <c r="M47" i="18" s="1"/>
  <c r="AD44" i="18"/>
  <c r="AD47" i="18" s="1"/>
  <c r="Q44" i="18"/>
  <c r="Q47" i="18" s="1"/>
  <c r="K44" i="18"/>
  <c r="K47" i="18" s="1"/>
  <c r="Y44" i="18"/>
  <c r="Y47" i="18" s="1"/>
  <c r="L44" i="18"/>
  <c r="L47" i="18" s="1"/>
  <c r="R44" i="18"/>
  <c r="R47" i="18" s="1"/>
  <c r="J44" i="18"/>
  <c r="J47" i="18" s="1"/>
  <c r="U44" i="18"/>
  <c r="U47" i="18" s="1"/>
  <c r="E44" i="18"/>
  <c r="E47" i="18" s="1"/>
  <c r="W44" i="18"/>
  <c r="W47" i="18" s="1"/>
  <c r="B44" i="18"/>
  <c r="B47" i="18" s="1"/>
  <c r="S44" i="18"/>
  <c r="S47" i="18" s="1"/>
  <c r="N44" i="18"/>
  <c r="N47" i="18" s="1"/>
  <c r="C44" i="18"/>
  <c r="C47" i="18" s="1"/>
  <c r="I44" i="18"/>
  <c r="I47" i="18" s="1"/>
  <c r="H44" i="18"/>
  <c r="H47" i="18" s="1"/>
  <c r="T44" i="18"/>
  <c r="T47" i="18" s="1"/>
  <c r="AG44" i="18"/>
  <c r="AG47" i="18" s="1"/>
  <c r="Z48" i="18" l="1"/>
  <c r="R48" i="18"/>
  <c r="V48" i="18"/>
  <c r="B48" i="18"/>
  <c r="N48" i="18"/>
  <c r="F48" i="18"/>
  <c r="AD48" i="18"/>
  <c r="J48" i="18"/>
  <c r="B50" i="18" l="1"/>
  <c r="B49" i="18"/>
  <c r="L41" i="2" s="1"/>
  <c r="C6" i="19"/>
  <c r="C15" i="19" s="1"/>
  <c r="D9" i="19" l="1"/>
  <c r="H9" i="19"/>
  <c r="F14" i="19"/>
  <c r="P60" i="2"/>
  <c r="P78" i="2" s="1"/>
  <c r="S60" i="2"/>
  <c r="S78" i="2" s="1"/>
  <c r="C42" i="2"/>
  <c r="I61" i="2" s="1"/>
  <c r="I79" i="2" s="1"/>
  <c r="L60" i="2"/>
  <c r="L78" i="2" s="1"/>
  <c r="X41" i="2"/>
  <c r="G10" i="19"/>
  <c r="F8" i="19"/>
  <c r="C14" i="19"/>
  <c r="E10" i="19"/>
  <c r="F10" i="19"/>
  <c r="C10" i="19"/>
  <c r="D13" i="19"/>
  <c r="C11" i="19"/>
  <c r="G12" i="19"/>
  <c r="R60" i="2"/>
  <c r="R78" i="2" s="1"/>
  <c r="E14" i="19"/>
  <c r="F12" i="19"/>
  <c r="Q60" i="2"/>
  <c r="Q78" i="2" s="1"/>
  <c r="F15" i="19"/>
  <c r="C9" i="19"/>
  <c r="C13" i="19"/>
  <c r="M60" i="2"/>
  <c r="M78" i="2" s="1"/>
  <c r="G9" i="19"/>
  <c r="H12" i="19"/>
  <c r="D15" i="19"/>
  <c r="C8" i="19"/>
  <c r="G8" i="19"/>
  <c r="N60" i="2"/>
  <c r="N78" i="2" s="1"/>
  <c r="E15" i="19"/>
  <c r="G14" i="19"/>
  <c r="D14" i="19"/>
  <c r="H14" i="19"/>
  <c r="G11" i="19"/>
  <c r="D12" i="19"/>
  <c r="E13" i="19"/>
  <c r="E12" i="19"/>
  <c r="G15" i="19"/>
  <c r="D10" i="19"/>
  <c r="H13" i="19"/>
  <c r="D11" i="19"/>
  <c r="B45" i="20"/>
  <c r="AD46" i="20" s="1"/>
  <c r="H15" i="19"/>
  <c r="E9" i="19"/>
  <c r="D8" i="19"/>
  <c r="H8" i="19"/>
  <c r="C12" i="19"/>
  <c r="H11" i="19"/>
  <c r="E11" i="19"/>
  <c r="F9" i="19"/>
  <c r="F11" i="19"/>
  <c r="H10" i="19"/>
  <c r="G13" i="19"/>
  <c r="E8" i="19"/>
  <c r="F13" i="19"/>
  <c r="O60" i="2"/>
  <c r="O78" i="2" s="1"/>
  <c r="G61" i="2"/>
  <c r="G79" i="2" s="1"/>
  <c r="D46" i="20"/>
  <c r="J46" i="20"/>
  <c r="I46" i="20"/>
  <c r="W46" i="20"/>
  <c r="K46" i="20"/>
  <c r="I12" i="19"/>
  <c r="N46" i="20"/>
  <c r="Z46" i="20"/>
  <c r="C46" i="20"/>
  <c r="P46" i="20" l="1"/>
  <c r="E46" i="20"/>
  <c r="D61" i="2"/>
  <c r="D79" i="2" s="1"/>
  <c r="L46" i="20"/>
  <c r="S46" i="20"/>
  <c r="E61" i="2"/>
  <c r="E79" i="2" s="1"/>
  <c r="H61" i="2"/>
  <c r="H79" i="2" s="1"/>
  <c r="M46" i="20"/>
  <c r="F46" i="20"/>
  <c r="AE46" i="20"/>
  <c r="AF46" i="20"/>
  <c r="F61" i="2"/>
  <c r="F79" i="2" s="1"/>
  <c r="C61" i="2"/>
  <c r="C79" i="2" s="1"/>
  <c r="AB46" i="20"/>
  <c r="R46" i="20"/>
  <c r="AA46" i="20"/>
  <c r="J61" i="2"/>
  <c r="J79" i="2" s="1"/>
  <c r="I8" i="19"/>
  <c r="I11" i="19"/>
  <c r="I14" i="19"/>
  <c r="I10" i="19"/>
  <c r="I9" i="19"/>
  <c r="I13" i="19"/>
  <c r="I15" i="19"/>
  <c r="V46" i="20"/>
  <c r="Q46" i="20"/>
  <c r="H46" i="20"/>
  <c r="U46" i="20"/>
  <c r="G46" i="20"/>
  <c r="AG46" i="20"/>
  <c r="B46" i="20"/>
  <c r="X46" i="20"/>
  <c r="Y46" i="20"/>
  <c r="O46" i="20"/>
  <c r="AC46" i="20"/>
  <c r="T46" i="20"/>
  <c r="B16" i="19" l="1"/>
  <c r="Z20" i="19"/>
  <c r="Z21" i="19" s="1"/>
  <c r="B27" i="19" s="1"/>
  <c r="P20" i="19"/>
  <c r="P21" i="19" s="1"/>
  <c r="D25" i="19" s="1"/>
  <c r="Q20" i="19"/>
  <c r="Q21" i="19" s="1"/>
  <c r="E25" i="19" s="1"/>
  <c r="AO20" i="19"/>
  <c r="AO21" i="19" s="1"/>
  <c r="E29" i="19" s="1"/>
  <c r="AC20" i="19"/>
  <c r="AC21" i="19" s="1"/>
  <c r="E27" i="19" s="1"/>
  <c r="U20" i="19"/>
  <c r="U21" i="19" s="1"/>
  <c r="C26" i="19" s="1"/>
  <c r="AV20" i="19"/>
  <c r="AV21" i="19" s="1"/>
  <c r="F30" i="19" s="1"/>
  <c r="O20" i="19"/>
  <c r="O21" i="19" s="1"/>
  <c r="C25" i="19" s="1"/>
  <c r="AL20" i="19"/>
  <c r="AL21" i="19" s="1"/>
  <c r="B29" i="19" s="1"/>
  <c r="AM20" i="19"/>
  <c r="AM21" i="19" s="1"/>
  <c r="C29" i="19" s="1"/>
  <c r="M20" i="19"/>
  <c r="M21" i="19" s="1"/>
  <c r="G24" i="19" s="1"/>
  <c r="H20" i="19"/>
  <c r="H21" i="19" s="1"/>
  <c r="B24" i="19" s="1"/>
  <c r="AJ20" i="19"/>
  <c r="AJ21" i="19" s="1"/>
  <c r="F28" i="19" s="1"/>
  <c r="X20" i="19"/>
  <c r="X21" i="19" s="1"/>
  <c r="F26" i="19" s="1"/>
  <c r="W20" i="19"/>
  <c r="W21" i="19" s="1"/>
  <c r="E26" i="19" s="1"/>
  <c r="Y20" i="19"/>
  <c r="Y21" i="19" s="1"/>
  <c r="G26" i="19" s="1"/>
  <c r="AS20" i="19"/>
  <c r="AS21" i="19" s="1"/>
  <c r="C30" i="19" s="1"/>
  <c r="AK20" i="19"/>
  <c r="AK21" i="19" s="1"/>
  <c r="G28" i="19" s="1"/>
  <c r="N20" i="19"/>
  <c r="N21" i="19" s="1"/>
  <c r="B25" i="19" s="1"/>
  <c r="AW20" i="19"/>
  <c r="AW21" i="19" s="1"/>
  <c r="G30" i="19" s="1"/>
  <c r="AG20" i="19"/>
  <c r="AG21" i="19" s="1"/>
  <c r="C28" i="19" s="1"/>
  <c r="C20" i="19"/>
  <c r="C21" i="19" s="1"/>
  <c r="C23" i="19" s="1"/>
  <c r="AN20" i="19"/>
  <c r="AN21" i="19" s="1"/>
  <c r="D29" i="19" s="1"/>
  <c r="G20" i="19"/>
  <c r="G21" i="19" s="1"/>
  <c r="G23" i="19" s="1"/>
  <c r="S20" i="19"/>
  <c r="S21" i="19" s="1"/>
  <c r="G25" i="19" s="1"/>
  <c r="AT20" i="19"/>
  <c r="AT21" i="19" s="1"/>
  <c r="D30" i="19" s="1"/>
  <c r="AR20" i="19"/>
  <c r="AR21" i="19" s="1"/>
  <c r="B30" i="19" s="1"/>
  <c r="AP20" i="19"/>
  <c r="AP21" i="19" s="1"/>
  <c r="F29" i="19" s="1"/>
  <c r="K20" i="19"/>
  <c r="K21" i="19" s="1"/>
  <c r="E24" i="19" s="1"/>
  <c r="AH20" i="19"/>
  <c r="AH21" i="19" s="1"/>
  <c r="D28" i="19" s="1"/>
  <c r="AB20" i="19"/>
  <c r="AB21" i="19" s="1"/>
  <c r="D27" i="19" s="1"/>
  <c r="AF20" i="19"/>
  <c r="AF21" i="19" s="1"/>
  <c r="B28" i="19" s="1"/>
  <c r="L20" i="19"/>
  <c r="L21" i="19" s="1"/>
  <c r="F24" i="19" s="1"/>
  <c r="AU20" i="19"/>
  <c r="AU21" i="19" s="1"/>
  <c r="E30" i="19" s="1"/>
  <c r="D20" i="19"/>
  <c r="D21" i="19" s="1"/>
  <c r="D23" i="19" s="1"/>
  <c r="T20" i="19"/>
  <c r="T21" i="19" s="1"/>
  <c r="B26" i="19" s="1"/>
  <c r="AI20" i="19"/>
  <c r="AI21" i="19" s="1"/>
  <c r="E28" i="19" s="1"/>
  <c r="AA20" i="19"/>
  <c r="AA21" i="19" s="1"/>
  <c r="C27" i="19" s="1"/>
  <c r="F20" i="19"/>
  <c r="F21" i="19" s="1"/>
  <c r="F23" i="19" s="1"/>
  <c r="AD20" i="19"/>
  <c r="AD21" i="19" s="1"/>
  <c r="F27" i="19" s="1"/>
  <c r="J20" i="19"/>
  <c r="J21" i="19" s="1"/>
  <c r="D24" i="19" s="1"/>
  <c r="E20" i="19"/>
  <c r="E21" i="19" s="1"/>
  <c r="E23" i="19" s="1"/>
  <c r="AQ20" i="19"/>
  <c r="AQ21" i="19" s="1"/>
  <c r="G29" i="19" s="1"/>
  <c r="H29" i="19" s="1"/>
  <c r="J29" i="19" s="1"/>
  <c r="B20" i="19"/>
  <c r="B21" i="19" s="1"/>
  <c r="B23" i="19" s="1"/>
  <c r="R20" i="19"/>
  <c r="R21" i="19" s="1"/>
  <c r="F25" i="19" s="1"/>
  <c r="AE20" i="19"/>
  <c r="AE21" i="19" s="1"/>
  <c r="G27" i="19" s="1"/>
  <c r="H27" i="19" s="1"/>
  <c r="J27" i="19" s="1"/>
  <c r="I20" i="19"/>
  <c r="I21" i="19" s="1"/>
  <c r="C24" i="19" s="1"/>
  <c r="V20" i="19"/>
  <c r="V21" i="19" s="1"/>
  <c r="D26" i="19" s="1"/>
  <c r="I28" i="19" l="1"/>
  <c r="K28" i="19" s="1"/>
  <c r="I26" i="19"/>
  <c r="K26" i="19" s="1"/>
  <c r="H28" i="19"/>
  <c r="J28" i="19" s="1"/>
  <c r="H30" i="19"/>
  <c r="J30" i="19" s="1"/>
  <c r="H24" i="19"/>
  <c r="J24" i="19" s="1"/>
  <c r="I25" i="19"/>
  <c r="K25" i="19" s="1"/>
  <c r="H23" i="19"/>
  <c r="J23" i="19" s="1"/>
  <c r="H26" i="19"/>
  <c r="J26" i="19" s="1"/>
  <c r="L26" i="19" s="1"/>
  <c r="M26" i="19" s="1"/>
  <c r="I29" i="19"/>
  <c r="K29" i="19" s="1"/>
  <c r="L29" i="19" s="1"/>
  <c r="M29" i="19" s="1"/>
  <c r="H25" i="19"/>
  <c r="J25" i="19" s="1"/>
  <c r="I24" i="19"/>
  <c r="K24" i="19" s="1"/>
  <c r="I27" i="19"/>
  <c r="K27" i="19" s="1"/>
  <c r="L27" i="19" s="1"/>
  <c r="M27" i="19" s="1"/>
  <c r="I23" i="19"/>
  <c r="K23" i="19" s="1"/>
  <c r="I30" i="19"/>
  <c r="K30" i="19" s="1"/>
  <c r="L30" i="19" s="1"/>
  <c r="M30" i="19" s="1"/>
  <c r="L28" i="19"/>
  <c r="M28" i="19" s="1"/>
  <c r="L25" i="19" l="1"/>
  <c r="M25" i="19" s="1"/>
  <c r="L23" i="19"/>
  <c r="M23" i="19" s="1"/>
  <c r="L24" i="19"/>
  <c r="M24" i="19" s="1"/>
  <c r="B31" i="19" s="1"/>
  <c r="F37" i="19" s="1"/>
  <c r="E36" i="19" l="1"/>
  <c r="E34" i="19"/>
  <c r="D36" i="19"/>
  <c r="E38" i="19"/>
  <c r="D38" i="19"/>
  <c r="D34" i="19"/>
  <c r="F38" i="19"/>
  <c r="D37" i="19"/>
  <c r="C37" i="19"/>
  <c r="E37" i="19"/>
  <c r="F34" i="19"/>
  <c r="F36" i="19"/>
  <c r="C40" i="19"/>
  <c r="C38" i="19"/>
  <c r="F41" i="19"/>
  <c r="E35" i="19"/>
  <c r="C41" i="19"/>
  <c r="D41" i="19"/>
  <c r="D35" i="19"/>
  <c r="F35" i="19"/>
  <c r="C35" i="19"/>
  <c r="E39" i="19"/>
  <c r="F39" i="19"/>
  <c r="C39" i="19"/>
  <c r="F40" i="19"/>
  <c r="E41" i="19"/>
  <c r="C34" i="19"/>
  <c r="E40" i="19"/>
  <c r="D40" i="19"/>
  <c r="D39" i="19"/>
  <c r="C36" i="19"/>
  <c r="G37" i="19" l="1"/>
  <c r="G40" i="19"/>
  <c r="G34" i="19"/>
  <c r="G36" i="19"/>
  <c r="G38" i="19"/>
  <c r="G41" i="19"/>
  <c r="G35" i="19"/>
  <c r="G39" i="19"/>
  <c r="B43" i="19" l="1"/>
  <c r="AA44" i="19" s="1"/>
  <c r="AA47" i="19" s="1"/>
  <c r="W44" i="19" l="1"/>
  <c r="W47" i="19" s="1"/>
  <c r="AB44" i="19"/>
  <c r="AB47" i="19" s="1"/>
  <c r="H44" i="19"/>
  <c r="H47" i="19" s="1"/>
  <c r="AG44" i="19"/>
  <c r="AG47" i="19" s="1"/>
  <c r="P44" i="19"/>
  <c r="P47" i="19" s="1"/>
  <c r="E44" i="19"/>
  <c r="E47" i="19" s="1"/>
  <c r="AC44" i="19"/>
  <c r="AC47" i="19" s="1"/>
  <c r="T44" i="19"/>
  <c r="T47" i="19" s="1"/>
  <c r="AE44" i="19"/>
  <c r="AE47" i="19" s="1"/>
  <c r="AD44" i="19"/>
  <c r="AD47" i="19" s="1"/>
  <c r="F44" i="19"/>
  <c r="F47" i="19" s="1"/>
  <c r="R44" i="19"/>
  <c r="R47" i="19" s="1"/>
  <c r="V44" i="19"/>
  <c r="V47" i="19" s="1"/>
  <c r="AF44" i="19"/>
  <c r="AF47" i="19" s="1"/>
  <c r="Z44" i="19"/>
  <c r="Z47" i="19" s="1"/>
  <c r="Y44" i="19"/>
  <c r="Y47" i="19" s="1"/>
  <c r="B44" i="19"/>
  <c r="B47" i="19" s="1"/>
  <c r="U44" i="19"/>
  <c r="U47" i="19" s="1"/>
  <c r="K44" i="19"/>
  <c r="K47" i="19" s="1"/>
  <c r="S44" i="19"/>
  <c r="S47" i="19" s="1"/>
  <c r="O44" i="19"/>
  <c r="O47" i="19" s="1"/>
  <c r="G44" i="19"/>
  <c r="G47" i="19" s="1"/>
  <c r="L44" i="19"/>
  <c r="L47" i="19" s="1"/>
  <c r="X44" i="19"/>
  <c r="X47" i="19" s="1"/>
  <c r="D44" i="19"/>
  <c r="D47" i="19" s="1"/>
  <c r="C44" i="19"/>
  <c r="C47" i="19" s="1"/>
  <c r="M44" i="19"/>
  <c r="M47" i="19" s="1"/>
  <c r="J44" i="19"/>
  <c r="J47" i="19" s="1"/>
  <c r="N44" i="19"/>
  <c r="N47" i="19" s="1"/>
  <c r="I44" i="19"/>
  <c r="I47" i="19" s="1"/>
  <c r="Q44" i="19"/>
  <c r="Q47" i="19" s="1"/>
  <c r="V48" i="19" l="1"/>
  <c r="B48" i="19"/>
  <c r="AD48" i="19"/>
  <c r="R48" i="19"/>
  <c r="N48" i="19"/>
  <c r="J48" i="19"/>
  <c r="Z48" i="19"/>
  <c r="F48" i="19"/>
  <c r="B50" i="19" l="1"/>
  <c r="B49" i="19"/>
  <c r="C6" i="20" s="1"/>
  <c r="H14" i="20" s="1"/>
  <c r="H12" i="20" l="1"/>
  <c r="E9" i="20"/>
  <c r="F10" i="20"/>
  <c r="D9" i="20"/>
  <c r="F8" i="20"/>
  <c r="C12" i="20"/>
  <c r="H9" i="20"/>
  <c r="F9" i="20"/>
  <c r="H11" i="20"/>
  <c r="G15" i="20"/>
  <c r="D13" i="20"/>
  <c r="D15" i="20"/>
  <c r="C15" i="20"/>
  <c r="D10" i="20"/>
  <c r="H13" i="20"/>
  <c r="D8" i="20"/>
  <c r="C10" i="20"/>
  <c r="C14" i="20"/>
  <c r="E12" i="20"/>
  <c r="F14" i="20"/>
  <c r="C9" i="20"/>
  <c r="C13" i="20"/>
  <c r="D11" i="20"/>
  <c r="E11" i="20"/>
  <c r="E10" i="20"/>
  <c r="F15" i="20"/>
  <c r="E8" i="20"/>
  <c r="H8" i="20"/>
  <c r="E15" i="20"/>
  <c r="G12" i="20"/>
  <c r="E13" i="20"/>
  <c r="G10" i="20"/>
  <c r="G14" i="20"/>
  <c r="F13" i="20"/>
  <c r="C8" i="20"/>
  <c r="G8" i="20"/>
  <c r="G9" i="20"/>
  <c r="F12" i="20"/>
  <c r="D14" i="20"/>
  <c r="G13" i="20"/>
  <c r="G11" i="20"/>
  <c r="D12" i="20"/>
  <c r="L42" i="2"/>
  <c r="M61" i="2" s="1"/>
  <c r="M79" i="2" s="1"/>
  <c r="H10" i="20"/>
  <c r="C11" i="20"/>
  <c r="H15" i="20"/>
  <c r="F11" i="20"/>
  <c r="E14" i="20"/>
  <c r="I10" i="20" l="1"/>
  <c r="P61" i="2"/>
  <c r="P79" i="2" s="1"/>
  <c r="X42" i="2"/>
  <c r="I12" i="20"/>
  <c r="I15" i="20"/>
  <c r="I14" i="20"/>
  <c r="N61" i="2"/>
  <c r="N79" i="2" s="1"/>
  <c r="I8" i="20"/>
  <c r="I13" i="20"/>
  <c r="I9" i="20"/>
  <c r="I11" i="20"/>
  <c r="C43" i="2"/>
  <c r="O61" i="2"/>
  <c r="O79" i="2" s="1"/>
  <c r="S61" i="2"/>
  <c r="S79" i="2" s="1"/>
  <c r="Q61" i="2"/>
  <c r="Q79" i="2" s="1"/>
  <c r="L61" i="2"/>
  <c r="L79" i="2" s="1"/>
  <c r="R61" i="2"/>
  <c r="R79" i="2" s="1"/>
  <c r="B16" i="20" l="1"/>
  <c r="AS20" i="20" s="1"/>
  <c r="AS21" i="20" s="1"/>
  <c r="C30" i="20" s="1"/>
  <c r="C62" i="2"/>
  <c r="C80" i="2" s="1"/>
  <c r="G62" i="2"/>
  <c r="G80" i="2" s="1"/>
  <c r="H62" i="2"/>
  <c r="H80" i="2" s="1"/>
  <c r="F62" i="2"/>
  <c r="F80" i="2" s="1"/>
  <c r="D62" i="2"/>
  <c r="D80" i="2" s="1"/>
  <c r="J62" i="2"/>
  <c r="J80" i="2" s="1"/>
  <c r="I62" i="2"/>
  <c r="I80" i="2" s="1"/>
  <c r="E62" i="2"/>
  <c r="E80" i="2" s="1"/>
  <c r="K20" i="20"/>
  <c r="K21" i="20" s="1"/>
  <c r="E24" i="20" s="1"/>
  <c r="D20" i="20"/>
  <c r="D21" i="20" s="1"/>
  <c r="D23" i="20" s="1"/>
  <c r="AB20" i="20" l="1"/>
  <c r="AB21" i="20" s="1"/>
  <c r="D27" i="20" s="1"/>
  <c r="AG20" i="20"/>
  <c r="AG21" i="20" s="1"/>
  <c r="C28" i="20" s="1"/>
  <c r="E20" i="20"/>
  <c r="E21" i="20" s="1"/>
  <c r="E23" i="20" s="1"/>
  <c r="X20" i="20"/>
  <c r="X21" i="20" s="1"/>
  <c r="F26" i="20" s="1"/>
  <c r="AF20" i="20"/>
  <c r="AF21" i="20" s="1"/>
  <c r="B28" i="20" s="1"/>
  <c r="P20" i="20"/>
  <c r="P21" i="20" s="1"/>
  <c r="D25" i="20" s="1"/>
  <c r="W20" i="20"/>
  <c r="W21" i="20" s="1"/>
  <c r="E26" i="20" s="1"/>
  <c r="S20" i="20"/>
  <c r="S21" i="20" s="1"/>
  <c r="G25" i="20" s="1"/>
  <c r="AO20" i="20"/>
  <c r="AO21" i="20" s="1"/>
  <c r="E29" i="20" s="1"/>
  <c r="O20" i="20"/>
  <c r="O21" i="20" s="1"/>
  <c r="C25" i="20" s="1"/>
  <c r="AP20" i="20"/>
  <c r="AP21" i="20" s="1"/>
  <c r="F29" i="20" s="1"/>
  <c r="AM20" i="20"/>
  <c r="AM21" i="20" s="1"/>
  <c r="C29" i="20" s="1"/>
  <c r="AT20" i="20"/>
  <c r="AT21" i="20" s="1"/>
  <c r="D30" i="20" s="1"/>
  <c r="H20" i="20"/>
  <c r="H21" i="20" s="1"/>
  <c r="B24" i="20" s="1"/>
  <c r="AR20" i="20"/>
  <c r="AR21" i="20" s="1"/>
  <c r="B30" i="20" s="1"/>
  <c r="T20" i="20"/>
  <c r="T21" i="20" s="1"/>
  <c r="B26" i="20" s="1"/>
  <c r="AH20" i="20"/>
  <c r="AH21" i="20" s="1"/>
  <c r="D28" i="20" s="1"/>
  <c r="AD20" i="20"/>
  <c r="AD21" i="20" s="1"/>
  <c r="F27" i="20" s="1"/>
  <c r="AA20" i="20"/>
  <c r="AA21" i="20" s="1"/>
  <c r="C27" i="20" s="1"/>
  <c r="AL20" i="20"/>
  <c r="AL21" i="20" s="1"/>
  <c r="B29" i="20" s="1"/>
  <c r="R20" i="20"/>
  <c r="R21" i="20" s="1"/>
  <c r="F25" i="20" s="1"/>
  <c r="G20" i="20"/>
  <c r="G21" i="20" s="1"/>
  <c r="G23" i="20" s="1"/>
  <c r="J20" i="20"/>
  <c r="J21" i="20" s="1"/>
  <c r="D24" i="20" s="1"/>
  <c r="C20" i="20"/>
  <c r="C21" i="20" s="1"/>
  <c r="C23" i="20" s="1"/>
  <c r="AN20" i="20"/>
  <c r="AN21" i="20" s="1"/>
  <c r="D29" i="20" s="1"/>
  <c r="AE20" i="20"/>
  <c r="AE21" i="20" s="1"/>
  <c r="G27" i="20" s="1"/>
  <c r="AW20" i="20"/>
  <c r="AW21" i="20" s="1"/>
  <c r="G30" i="20" s="1"/>
  <c r="M20" i="20"/>
  <c r="M21" i="20" s="1"/>
  <c r="G24" i="20" s="1"/>
  <c r="AC20" i="20"/>
  <c r="AC21" i="20" s="1"/>
  <c r="E27" i="20" s="1"/>
  <c r="Y20" i="20"/>
  <c r="Y21" i="20" s="1"/>
  <c r="G26" i="20" s="1"/>
  <c r="AJ20" i="20"/>
  <c r="AJ21" i="20" s="1"/>
  <c r="F28" i="20" s="1"/>
  <c r="V20" i="20"/>
  <c r="V21" i="20" s="1"/>
  <c r="D26" i="20" s="1"/>
  <c r="U20" i="20"/>
  <c r="U21" i="20" s="1"/>
  <c r="C26" i="20" s="1"/>
  <c r="N20" i="20"/>
  <c r="N21" i="20" s="1"/>
  <c r="B25" i="20" s="1"/>
  <c r="I20" i="20"/>
  <c r="I21" i="20" s="1"/>
  <c r="C24" i="20" s="1"/>
  <c r="B20" i="20"/>
  <c r="B21" i="20" s="1"/>
  <c r="B23" i="20" s="1"/>
  <c r="AU20" i="20"/>
  <c r="AU21" i="20" s="1"/>
  <c r="E30" i="20" s="1"/>
  <c r="AV20" i="20"/>
  <c r="AV21" i="20" s="1"/>
  <c r="F30" i="20" s="1"/>
  <c r="Q20" i="20"/>
  <c r="Q21" i="20" s="1"/>
  <c r="E25" i="20" s="1"/>
  <c r="AQ20" i="20"/>
  <c r="AQ21" i="20" s="1"/>
  <c r="G29" i="20" s="1"/>
  <c r="Z20" i="20"/>
  <c r="Z21" i="20" s="1"/>
  <c r="B27" i="20" s="1"/>
  <c r="F20" i="20"/>
  <c r="F21" i="20" s="1"/>
  <c r="F23" i="20" s="1"/>
  <c r="AK20" i="20"/>
  <c r="AK21" i="20" s="1"/>
  <c r="G28" i="20" s="1"/>
  <c r="L20" i="20"/>
  <c r="L21" i="20" s="1"/>
  <c r="F24" i="20" s="1"/>
  <c r="AI20" i="20"/>
  <c r="AI21" i="20" s="1"/>
  <c r="E28" i="20" s="1"/>
  <c r="H28" i="20" l="1"/>
  <c r="J28" i="20" s="1"/>
  <c r="H25" i="20"/>
  <c r="J25" i="20" s="1"/>
  <c r="H29" i="20"/>
  <c r="J29" i="20" s="1"/>
  <c r="I28" i="20"/>
  <c r="K28" i="20" s="1"/>
  <c r="L28" i="20" s="1"/>
  <c r="M28" i="20" s="1"/>
  <c r="I30" i="20"/>
  <c r="K30" i="20" s="1"/>
  <c r="H23" i="20"/>
  <c r="J23" i="20" s="1"/>
  <c r="I26" i="20"/>
  <c r="K26" i="20" s="1"/>
  <c r="H26" i="20"/>
  <c r="J26" i="20" s="1"/>
  <c r="I25" i="20"/>
  <c r="K25" i="20" s="1"/>
  <c r="I23" i="20"/>
  <c r="K23" i="20" s="1"/>
  <c r="H24" i="20"/>
  <c r="J24" i="20" s="1"/>
  <c r="H27" i="20"/>
  <c r="J27" i="20" s="1"/>
  <c r="I24" i="20"/>
  <c r="K24" i="20" s="1"/>
  <c r="I27" i="20"/>
  <c r="K27" i="20" s="1"/>
  <c r="H30" i="20"/>
  <c r="J30" i="20" s="1"/>
  <c r="I29" i="20"/>
  <c r="K29" i="20" s="1"/>
  <c r="L25" i="20" l="1"/>
  <c r="M25" i="20" s="1"/>
  <c r="L23" i="20"/>
  <c r="M23" i="20" s="1"/>
  <c r="L29" i="20"/>
  <c r="M29" i="20" s="1"/>
  <c r="L30" i="20"/>
  <c r="M30" i="20" s="1"/>
  <c r="L24" i="20"/>
  <c r="M24" i="20" s="1"/>
  <c r="L26" i="20"/>
  <c r="M26" i="20" s="1"/>
  <c r="L27" i="20"/>
  <c r="M27" i="20" s="1"/>
  <c r="B31" i="20" l="1"/>
  <c r="E38" i="20" s="1"/>
  <c r="F34" i="20" l="1"/>
  <c r="F39" i="20"/>
  <c r="F40" i="20"/>
  <c r="C35" i="20"/>
  <c r="C36" i="20"/>
  <c r="C37" i="20"/>
  <c r="D35" i="20"/>
  <c r="F41" i="20"/>
  <c r="D38" i="20"/>
  <c r="F37" i="20"/>
  <c r="D41" i="20"/>
  <c r="E40" i="20"/>
  <c r="D36" i="20"/>
  <c r="C39" i="20"/>
  <c r="E35" i="20"/>
  <c r="E36" i="20"/>
  <c r="C34" i="20"/>
  <c r="D37" i="20"/>
  <c r="C40" i="20"/>
  <c r="F38" i="20"/>
  <c r="F36" i="20"/>
  <c r="C38" i="20"/>
  <c r="F35" i="20"/>
  <c r="E39" i="20"/>
  <c r="E37" i="20"/>
  <c r="D34" i="20"/>
  <c r="E34" i="20"/>
  <c r="D40" i="20"/>
  <c r="C41" i="20"/>
  <c r="E41" i="20"/>
  <c r="D39" i="20"/>
  <c r="G38" i="20" l="1"/>
  <c r="G39" i="20"/>
  <c r="G40" i="20"/>
  <c r="G37" i="20"/>
  <c r="G36" i="20"/>
  <c r="G41" i="20"/>
  <c r="G35" i="20"/>
  <c r="G34" i="20"/>
  <c r="B43" i="20" l="1"/>
  <c r="N44" i="20" s="1"/>
  <c r="N47" i="20" s="1"/>
  <c r="P44" i="20" l="1"/>
  <c r="P47" i="20" s="1"/>
  <c r="AC44" i="20"/>
  <c r="AC47" i="20" s="1"/>
  <c r="S44" i="20"/>
  <c r="S47" i="20" s="1"/>
  <c r="Q44" i="20"/>
  <c r="Q47" i="20" s="1"/>
  <c r="C44" i="20"/>
  <c r="C47" i="20" s="1"/>
  <c r="B44" i="20"/>
  <c r="B47" i="20" s="1"/>
  <c r="R44" i="20"/>
  <c r="R47" i="20" s="1"/>
  <c r="E44" i="20"/>
  <c r="E47" i="20" s="1"/>
  <c r="J44" i="20"/>
  <c r="J47" i="20" s="1"/>
  <c r="F44" i="20"/>
  <c r="F47" i="20" s="1"/>
  <c r="AD44" i="20"/>
  <c r="AD47" i="20" s="1"/>
  <c r="V44" i="20"/>
  <c r="V47" i="20" s="1"/>
  <c r="G44" i="20"/>
  <c r="G47" i="20" s="1"/>
  <c r="H44" i="20"/>
  <c r="H47" i="20" s="1"/>
  <c r="K44" i="20"/>
  <c r="K47" i="20" s="1"/>
  <c r="T44" i="20"/>
  <c r="T47" i="20" s="1"/>
  <c r="AE44" i="20"/>
  <c r="AE47" i="20" s="1"/>
  <c r="AG44" i="20"/>
  <c r="AG47" i="20" s="1"/>
  <c r="AF44" i="20"/>
  <c r="AF47" i="20" s="1"/>
  <c r="D44" i="20"/>
  <c r="D47" i="20" s="1"/>
  <c r="Y44" i="20"/>
  <c r="Y47" i="20" s="1"/>
  <c r="Z44" i="20"/>
  <c r="Z47" i="20" s="1"/>
  <c r="AA44" i="20"/>
  <c r="AA47" i="20" s="1"/>
  <c r="AB44" i="20"/>
  <c r="AB47" i="20" s="1"/>
  <c r="L44" i="20"/>
  <c r="L47" i="20" s="1"/>
  <c r="W44" i="20"/>
  <c r="W47" i="20" s="1"/>
  <c r="I44" i="20"/>
  <c r="I47" i="20" s="1"/>
  <c r="U44" i="20"/>
  <c r="U47" i="20" s="1"/>
  <c r="O44" i="20"/>
  <c r="O47" i="20" s="1"/>
  <c r="M44" i="20"/>
  <c r="M47" i="20" s="1"/>
  <c r="X44" i="20"/>
  <c r="X47" i="20" s="1"/>
  <c r="J48" i="20" l="1"/>
  <c r="Z48" i="20"/>
  <c r="V48" i="20"/>
  <c r="B48" i="20"/>
  <c r="F48" i="20"/>
  <c r="R48" i="20"/>
  <c r="AD48" i="20"/>
  <c r="N48" i="20"/>
  <c r="B50" i="20" l="1"/>
  <c r="B49" i="20"/>
  <c r="L43" i="2" s="1"/>
  <c r="Q62" i="2" s="1"/>
  <c r="Q80" i="2" s="1"/>
  <c r="R62" i="2" l="1"/>
  <c r="R80" i="2" s="1"/>
  <c r="S62" i="2"/>
  <c r="S80" i="2" s="1"/>
  <c r="L62" i="2"/>
  <c r="L80" i="2" s="1"/>
  <c r="N62" i="2"/>
  <c r="N80" i="2" s="1"/>
  <c r="M62" i="2"/>
  <c r="M80" i="2" s="1"/>
  <c r="X43" i="2"/>
  <c r="X47" i="2" s="1"/>
  <c r="Z56" i="2" s="1"/>
  <c r="O62" i="2"/>
  <c r="O80" i="2" s="1"/>
  <c r="P62" i="2"/>
  <c r="P80" i="2" s="1"/>
  <c r="AB58" i="2" l="1"/>
  <c r="X58" i="2"/>
  <c r="AB57" i="2"/>
  <c r="V56" i="2"/>
  <c r="X55" i="2"/>
  <c r="X52" i="2"/>
  <c r="AC57" i="2"/>
  <c r="AA55" i="2"/>
  <c r="AA51" i="2"/>
  <c r="AA56" i="2"/>
  <c r="Y57" i="2"/>
  <c r="Y56" i="2"/>
  <c r="Y55" i="2"/>
  <c r="V58" i="2"/>
  <c r="Y58" i="2"/>
  <c r="AC58" i="2"/>
  <c r="Z53" i="2"/>
  <c r="W52" i="2"/>
  <c r="Y53" i="2"/>
  <c r="Y52" i="2"/>
  <c r="V51" i="2"/>
  <c r="X57" i="2"/>
  <c r="V53" i="2"/>
  <c r="X53" i="2"/>
  <c r="AC51" i="2"/>
  <c r="AB51" i="2"/>
  <c r="W55" i="2"/>
  <c r="Z51" i="2"/>
  <c r="AB55" i="2"/>
  <c r="AC52" i="2"/>
  <c r="W57" i="2"/>
  <c r="AB52" i="2"/>
  <c r="AC56" i="2"/>
  <c r="X56" i="2"/>
  <c r="Y51" i="2"/>
  <c r="V54" i="2"/>
  <c r="Y54" i="2"/>
  <c r="AA53" i="2"/>
  <c r="AC55" i="2"/>
  <c r="Z58" i="2"/>
  <c r="AA58" i="2"/>
  <c r="X54" i="2"/>
  <c r="W56" i="2"/>
  <c r="AC54" i="2"/>
  <c r="Z57" i="2"/>
  <c r="AB54" i="2"/>
  <c r="Z55" i="2"/>
  <c r="W51" i="2"/>
  <c r="V57" i="2"/>
  <c r="W53" i="2"/>
  <c r="W54" i="2"/>
  <c r="AA57" i="2"/>
  <c r="W58" i="2"/>
  <c r="AA52" i="2"/>
  <c r="AB56" i="2"/>
  <c r="AE56" i="2" s="1"/>
  <c r="AG56" i="2" s="1"/>
  <c r="AA54" i="2"/>
  <c r="Z52" i="2"/>
  <c r="X51" i="2"/>
  <c r="V55" i="2"/>
  <c r="V4" i="2"/>
  <c r="Z54" i="2"/>
  <c r="AB53" i="2"/>
  <c r="AC53" i="2"/>
  <c r="V52" i="2"/>
  <c r="AE51" i="2" l="1"/>
  <c r="AG51" i="2" s="1"/>
  <c r="AE58" i="2"/>
  <c r="AG58" i="2" s="1"/>
  <c r="AD56" i="2"/>
  <c r="AF56" i="2" s="1"/>
  <c r="AH56" i="2" s="1"/>
  <c r="AD52" i="2"/>
  <c r="AF52" i="2" s="1"/>
  <c r="AE57" i="2"/>
  <c r="AG57" i="2" s="1"/>
  <c r="AE52" i="2"/>
  <c r="AG52" i="2" s="1"/>
  <c r="AH52" i="2" s="1"/>
  <c r="AE53" i="2"/>
  <c r="AG53" i="2" s="1"/>
  <c r="AE55" i="2"/>
  <c r="AG55" i="2" s="1"/>
  <c r="AD57" i="2"/>
  <c r="AF57" i="2" s="1"/>
  <c r="AD53" i="2"/>
  <c r="AF53" i="2" s="1"/>
  <c r="AE54" i="2"/>
  <c r="AG54" i="2" s="1"/>
  <c r="AD55" i="2"/>
  <c r="AF55" i="2" s="1"/>
  <c r="AD58" i="2"/>
  <c r="AF58" i="2" s="1"/>
  <c r="AD51" i="2"/>
  <c r="AF51" i="2" s="1"/>
  <c r="AH51" i="2" s="1"/>
  <c r="AD54" i="2"/>
  <c r="AF54" i="2" s="1"/>
  <c r="AH58" i="2" l="1"/>
  <c r="AH57" i="2"/>
  <c r="AH55" i="2"/>
  <c r="AH54" i="2"/>
  <c r="AH53" i="2"/>
  <c r="AB62" i="2"/>
  <c r="Z8" i="2" s="1"/>
  <c r="AB61" i="2" l="1"/>
  <c r="Z7" i="2" s="1"/>
</calcChain>
</file>

<file path=xl/sharedStrings.xml><?xml version="1.0" encoding="utf-8"?>
<sst xmlns="http://schemas.openxmlformats.org/spreadsheetml/2006/main" count="657" uniqueCount="179">
  <si>
    <t>MESSAGE (X)</t>
  </si>
  <si>
    <t>A</t>
  </si>
  <si>
    <t>B</t>
  </si>
  <si>
    <t>C</t>
  </si>
  <si>
    <t>D</t>
  </si>
  <si>
    <t>ITERATION</t>
  </si>
  <si>
    <t>&lt;&lt;INPUT NUMBER OF ITERATIONS FOR Ri</t>
  </si>
  <si>
    <t>Xbin</t>
  </si>
  <si>
    <t>Xstr</t>
  </si>
  <si>
    <t>L</t>
  </si>
  <si>
    <t>CYPHERTEXT MESSAGE (Y)</t>
  </si>
  <si>
    <t>R</t>
  </si>
  <si>
    <t>Y(HEX)</t>
  </si>
  <si>
    <t>=</t>
  </si>
  <si>
    <t>Y(BIN)</t>
  </si>
  <si>
    <t>KEY (K)</t>
  </si>
  <si>
    <t>Kbin</t>
  </si>
  <si>
    <t>kstr</t>
  </si>
  <si>
    <t>E</t>
  </si>
  <si>
    <t>F</t>
  </si>
  <si>
    <t>MIP</t>
  </si>
  <si>
    <t>L0</t>
  </si>
  <si>
    <t>R0</t>
  </si>
  <si>
    <t>L1</t>
  </si>
  <si>
    <t>R1</t>
  </si>
  <si>
    <t>L2</t>
  </si>
  <si>
    <t>R2</t>
  </si>
  <si>
    <t>L3</t>
  </si>
  <si>
    <t>R3</t>
  </si>
  <si>
    <t>L4</t>
  </si>
  <si>
    <t>R4</t>
  </si>
  <si>
    <t>L5</t>
  </si>
  <si>
    <t>R5</t>
  </si>
  <si>
    <t>L6</t>
  </si>
  <si>
    <t>R6</t>
  </si>
  <si>
    <t>L7</t>
  </si>
  <si>
    <t>R7</t>
  </si>
  <si>
    <t>L8</t>
  </si>
  <si>
    <t>R8</t>
  </si>
  <si>
    <t>L9</t>
  </si>
  <si>
    <t>R9</t>
  </si>
  <si>
    <t>L10</t>
  </si>
  <si>
    <t>R10</t>
  </si>
  <si>
    <t>L11</t>
  </si>
  <si>
    <t>R11</t>
  </si>
  <si>
    <t>L12</t>
  </si>
  <si>
    <t>R12</t>
  </si>
  <si>
    <t>L13</t>
  </si>
  <si>
    <t>R13</t>
  </si>
  <si>
    <t>L14</t>
  </si>
  <si>
    <t>R14</t>
  </si>
  <si>
    <t>L15</t>
  </si>
  <si>
    <t>R15</t>
  </si>
  <si>
    <t>L16</t>
  </si>
  <si>
    <t>R16</t>
  </si>
  <si>
    <t>FINAL PERMUTATION (FP)</t>
  </si>
  <si>
    <t>FP</t>
  </si>
  <si>
    <t>CIPHERTEXT MESSAGE (Y)</t>
  </si>
  <si>
    <t>Y</t>
  </si>
  <si>
    <t>NUMBER OF BITS</t>
  </si>
  <si>
    <t>ROUND</t>
  </si>
  <si>
    <t>MESSAGE 1</t>
  </si>
  <si>
    <t>MESSAGE 2</t>
  </si>
  <si>
    <t>DIFFERENCE BIT BY BIT</t>
  </si>
  <si>
    <t>THAT ARE DIFF</t>
  </si>
  <si>
    <t>0000000100000000000000000000000000000000000000000000000000000000</t>
  </si>
  <si>
    <t>0000000100000000000000000000000000000000000000010000000000000000</t>
  </si>
  <si>
    <t>1011011110100101010001111110101000000001000000000000000000000000</t>
  </si>
  <si>
    <t>1011011110100100010001111110101000000001000000000000000000000000</t>
  </si>
  <si>
    <t>0101010101111101101000001001110010110111101001010100011111101010</t>
  </si>
  <si>
    <t>1111010100111101101100000001110010110111101001000100011111101010</t>
  </si>
  <si>
    <t>1111111000010011100111111111110001010101011111011010000010011100</t>
  </si>
  <si>
    <t>1111110100100111001100100101010011110101001111011011000000011100</t>
  </si>
  <si>
    <t>1100111000110111100001110001010111111110000100111001111111111100</t>
  </si>
  <si>
    <t>1101100100011000110111100011010111111101001001110011001001010100</t>
  </si>
  <si>
    <t>1100001010000101011111101111110111001110001101111000011100010101</t>
  </si>
  <si>
    <t>0110001010010101110000000100011011011001000110001101111000110101</t>
  </si>
  <si>
    <t>0001111000111001010010010101100111000010100001010111111011111101</t>
  </si>
  <si>
    <t>0000101101000000000100110101010101100010100101011100000001000110</t>
  </si>
  <si>
    <t>0111100011111100001000000101100100011110001110010100100101011001</t>
  </si>
  <si>
    <t>1000001100100100001010100111101100001011010000000001001101010101</t>
  </si>
  <si>
    <t>1000100000011110100011000000010001111000111111000010000001011001</t>
  </si>
  <si>
    <t>0110001101100011010100011000101010000011001001000010101001111011</t>
  </si>
  <si>
    <t>0010000000110101000111010000101110001000000111101000110000000100</t>
  </si>
  <si>
    <t>1101101111011001110100111010100001100011011000110101000110001010</t>
  </si>
  <si>
    <t>1110010101000011100000001001100000100000001101010001110100001011</t>
  </si>
  <si>
    <t>1001010001001000001100010110111111011011110110011101001110101000</t>
  </si>
  <si>
    <t>1010100111001010110001001101111111100101010000111000000010011000</t>
  </si>
  <si>
    <t>1110010110100110111011100011010110010100010010000011000101101111</t>
  </si>
  <si>
    <t>1100110111111000000011111011000110101001110010101100010011011111</t>
  </si>
  <si>
    <t>1011101101001010010001011101010011100101101001101110111000110101</t>
  </si>
  <si>
    <t>0010110000100011010010010111001011001101111110000000111110110001</t>
  </si>
  <si>
    <t>0101111011000111110001001110111010111011010010100100010111010100</t>
  </si>
  <si>
    <t>0100100111111001100001110110100100101100001000110100100101110010</t>
  </si>
  <si>
    <t>0100011110000101011000101010111101011110110001111100010011101110</t>
  </si>
  <si>
    <t>0000110100111101011000100001101001001001111110011000011101101001</t>
  </si>
  <si>
    <t>1110011001100000101100001100001101000111100001010110001010101111</t>
  </si>
  <si>
    <t>1111110110100010001110011110001000001101001111010110001000011010</t>
  </si>
  <si>
    <t>1101101011001110001100001010100011100110011000001011000011000011</t>
  </si>
  <si>
    <t>STANDARD DES PROCESS</t>
  </si>
  <si>
    <t>REF</t>
  </si>
  <si>
    <t>CONCATENATED</t>
  </si>
  <si>
    <t>K+</t>
  </si>
  <si>
    <t>K+str</t>
  </si>
  <si>
    <t>SHIFT</t>
  </si>
  <si>
    <t>Ci</t>
  </si>
  <si>
    <t>Di</t>
  </si>
  <si>
    <t>C0D0</t>
  </si>
  <si>
    <t>C1D1</t>
  </si>
  <si>
    <t>C2D2</t>
  </si>
  <si>
    <t>C3D3</t>
  </si>
  <si>
    <t>C4D4</t>
  </si>
  <si>
    <t>C5D5</t>
  </si>
  <si>
    <t>C6D6</t>
  </si>
  <si>
    <t>C7D7</t>
  </si>
  <si>
    <t>C8D8</t>
  </si>
  <si>
    <t>C9D9</t>
  </si>
  <si>
    <t>C10D10</t>
  </si>
  <si>
    <t>C11D11</t>
  </si>
  <si>
    <t>C12D12</t>
  </si>
  <si>
    <t>C13D13</t>
  </si>
  <si>
    <t>C14D14</t>
  </si>
  <si>
    <t>C15D15</t>
  </si>
  <si>
    <t>C16D16</t>
  </si>
  <si>
    <t>Kn</t>
  </si>
  <si>
    <t>String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</si>
  <si>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</si>
  <si>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</si>
  <si>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</si>
  <si>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</si>
  <si>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</si>
  <si>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</si>
  <si>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</si>
  <si>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</si>
  <si>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</si>
  <si>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</si>
  <si>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</si>
  <si>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</si>
  <si>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</si>
  <si>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</si>
  <si>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</si>
  <si>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</si>
  <si>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Ln</t>
  </si>
  <si>
    <t>Rn-1</t>
  </si>
  <si>
    <t>Rn</t>
  </si>
  <si>
    <t>Ln-1 + f(Rn-1,Kn)</t>
  </si>
  <si>
    <t>n</t>
  </si>
  <si>
    <t>L1=R0</t>
  </si>
  <si>
    <t>E(R0)</t>
  </si>
  <si>
    <t>BITS</t>
  </si>
  <si>
    <t>K1+E(R0)</t>
  </si>
  <si>
    <t>D16</t>
  </si>
  <si>
    <t>D2345</t>
  </si>
  <si>
    <t>P</t>
  </si>
  <si>
    <t>B1</t>
  </si>
  <si>
    <t>B2</t>
  </si>
  <si>
    <t>B3</t>
  </si>
  <si>
    <t>B4</t>
  </si>
  <si>
    <t>B5</t>
  </si>
  <si>
    <t>B6</t>
  </si>
  <si>
    <t>B7</t>
  </si>
  <si>
    <t>B8</t>
  </si>
  <si>
    <t>S1B1..SnBn</t>
  </si>
  <si>
    <t>PSnBn</t>
  </si>
  <si>
    <t>f</t>
  </si>
  <si>
    <t>R1hex</t>
  </si>
  <si>
    <t>PC_1</t>
  </si>
  <si>
    <t>PC_2</t>
  </si>
  <si>
    <t>IP</t>
  </si>
  <si>
    <t>E_BIT</t>
  </si>
  <si>
    <t>S1_BOX</t>
  </si>
  <si>
    <t>S2_BOX</t>
  </si>
  <si>
    <t>S3_BOX</t>
  </si>
  <si>
    <t>S4_BOX</t>
  </si>
  <si>
    <t>S5_BOX</t>
  </si>
  <si>
    <t>S6_BOX</t>
  </si>
  <si>
    <t>S7_BOX</t>
  </si>
  <si>
    <t>S8_BOX</t>
  </si>
  <si>
    <t>INV_IP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</si>
</sst>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0" fillId="3" borderId="0" xfId="0" applyFill="1"/>
    <xf numFmtId="0" fontId="1" fillId="3" borderId="0" xfId="0" applyFont="1" applyFill="1"/>
    <xf numFmtId="0" fontId="6" fillId="0" borderId="0" xfId="0" applyFont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8" fillId="0" borderId="0" xfId="0" applyFont="1"/>
    <xf numFmtId="0" fontId="8" fillId="3" borderId="0" xfId="0" applyFont="1" applyFill="1"/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0"/>
  <sheetViews>
    <sheetView tabSelected="1" topLeftCell="T1" workbookViewId="0">
      <selection activeCell="AC9" sqref="AC9"/>
    </sheetView>
  </sheetViews>
  <sheetFormatPr defaultColWidth="4.28515625" defaultRowHeight="15"/>
  <cols>
    <col min="1" max="1" width="15.42578125" customWidth="1"/>
  </cols>
  <sheetData>
    <row r="1" spans="1:4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3" spans="1:47" ht="18.95">
      <c r="A3" t="s">
        <v>0</v>
      </c>
      <c r="B3" s="26">
        <v>1</v>
      </c>
      <c r="C3" s="26">
        <v>2</v>
      </c>
      <c r="D3" s="26">
        <v>3</v>
      </c>
      <c r="E3" s="26">
        <v>4</v>
      </c>
      <c r="F3" s="26">
        <v>5</v>
      </c>
      <c r="G3" s="26">
        <v>6</v>
      </c>
      <c r="H3" s="26" t="s">
        <v>1</v>
      </c>
      <c r="I3" s="26" t="s">
        <v>2</v>
      </c>
      <c r="J3" s="26" t="s">
        <v>3</v>
      </c>
      <c r="K3" s="26" t="s">
        <v>4</v>
      </c>
      <c r="L3" s="26">
        <v>1</v>
      </c>
      <c r="M3" s="26">
        <v>3</v>
      </c>
      <c r="N3" s="26">
        <v>2</v>
      </c>
      <c r="O3" s="26">
        <v>5</v>
      </c>
      <c r="P3" s="26">
        <v>3</v>
      </c>
      <c r="Q3" s="26">
        <v>6</v>
      </c>
      <c r="S3" s="9" t="s">
        <v>5</v>
      </c>
      <c r="U3" s="1"/>
      <c r="V3" s="25">
        <v>16</v>
      </c>
      <c r="W3" s="14" t="s">
        <v>6</v>
      </c>
    </row>
    <row r="4" spans="1:47">
      <c r="A4" t="s">
        <v>7</v>
      </c>
      <c r="B4" t="str">
        <f>HEX2BIN(B3,4)</f>
        <v>0001</v>
      </c>
      <c r="C4" t="str">
        <f t="shared" ref="C4:Q4" si="0">HEX2BIN(C3,4)</f>
        <v>0010</v>
      </c>
      <c r="D4" t="str">
        <f t="shared" si="0"/>
        <v>0011</v>
      </c>
      <c r="E4" t="str">
        <f t="shared" si="0"/>
        <v>0100</v>
      </c>
      <c r="F4" t="str">
        <f t="shared" si="0"/>
        <v>0101</v>
      </c>
      <c r="G4" t="str">
        <f t="shared" si="0"/>
        <v>0110</v>
      </c>
      <c r="H4" t="str">
        <f t="shared" si="0"/>
        <v>1010</v>
      </c>
      <c r="I4" t="str">
        <f t="shared" si="0"/>
        <v>1011</v>
      </c>
      <c r="J4" t="str">
        <f t="shared" si="0"/>
        <v>1100</v>
      </c>
      <c r="K4" t="str">
        <f t="shared" si="0"/>
        <v>1101</v>
      </c>
      <c r="L4" t="str">
        <f t="shared" si="0"/>
        <v>0001</v>
      </c>
      <c r="M4" t="str">
        <f t="shared" si="0"/>
        <v>0011</v>
      </c>
      <c r="N4" t="str">
        <f t="shared" si="0"/>
        <v>0010</v>
      </c>
      <c r="O4" t="str">
        <f t="shared" si="0"/>
        <v>0101</v>
      </c>
      <c r="P4" t="str">
        <f t="shared" si="0"/>
        <v>0011</v>
      </c>
      <c r="Q4" t="str">
        <f t="shared" si="0"/>
        <v>0110</v>
      </c>
      <c r="S4" t="str">
        <f>U47</f>
        <v>R16||L16</v>
      </c>
      <c r="U4" s="1"/>
      <c r="V4" s="6" t="str">
        <f>X47</f>
        <v>0001100110111010100100100001001011001111001001101011010001110010</v>
      </c>
      <c r="W4" s="1"/>
    </row>
    <row r="5" spans="1:47">
      <c r="A5" t="s">
        <v>8</v>
      </c>
      <c r="B5" t="str">
        <f>CONCATENATE(B4,C4,D4,E4,F4,G4,H4,I4,J4,K4,L4,M4,N4,O4,P4,Q4)</f>
        <v>0001001000110100010101101010101111001101000100110010010100110110</v>
      </c>
    </row>
    <row r="6" spans="1:47">
      <c r="A6" t="s">
        <v>9</v>
      </c>
      <c r="B6" t="str">
        <f>LEFT(B5,32)</f>
        <v>00010010001101000101011010101011</v>
      </c>
      <c r="S6" s="19" t="s">
        <v>10</v>
      </c>
      <c r="T6" s="19"/>
      <c r="U6" s="15"/>
      <c r="V6" s="15"/>
      <c r="W6" s="15"/>
      <c r="X6" s="15"/>
      <c r="Y6" s="1"/>
      <c r="Z6" s="1"/>
      <c r="AA6" s="1"/>
      <c r="AB6" s="1"/>
      <c r="AC6" s="1"/>
      <c r="AD6" s="1"/>
    </row>
    <row r="7" spans="1:47" ht="18.95">
      <c r="A7" t="s">
        <v>11</v>
      </c>
      <c r="B7" t="str">
        <f>RIGHT(B5,32)</f>
        <v>11001101000100110010010100110110</v>
      </c>
      <c r="U7" s="1"/>
      <c r="V7" s="1"/>
      <c r="W7" s="29" t="s">
        <v>12</v>
      </c>
      <c r="X7" s="29"/>
      <c r="Y7" s="21" t="s">
        <v>13</v>
      </c>
      <c r="Z7" s="22" t="str">
        <f>AB61</f>
        <v>C0B7A8D05F3A829C</v>
      </c>
      <c r="AA7" s="21"/>
      <c r="AB7" s="21"/>
      <c r="AC7" s="21"/>
      <c r="AD7" s="21"/>
      <c r="AE7" s="24"/>
      <c r="AF7" s="23"/>
      <c r="AG7" s="23"/>
      <c r="AH7" s="23"/>
      <c r="AI7" s="23"/>
      <c r="AJ7" s="23"/>
      <c r="AK7" s="23"/>
      <c r="AL7" s="23"/>
      <c r="AM7" s="23"/>
      <c r="AN7" s="23"/>
    </row>
    <row r="8" spans="1:47" ht="18.95">
      <c r="U8" s="1"/>
      <c r="V8" s="1"/>
      <c r="W8" s="29" t="s">
        <v>14</v>
      </c>
      <c r="X8" s="29"/>
      <c r="Y8" s="21" t="s">
        <v>13</v>
      </c>
      <c r="Z8" s="22" t="str">
        <f>AB62</f>
        <v>1100000010110111101010001101000001011111001110101000001010011100</v>
      </c>
      <c r="AA8" s="21"/>
      <c r="AB8" s="21"/>
      <c r="AC8" s="21"/>
      <c r="AD8" s="21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18"/>
      <c r="AP8" s="18"/>
      <c r="AQ8" s="18"/>
      <c r="AR8" s="18"/>
      <c r="AS8" s="18"/>
      <c r="AT8" s="18"/>
      <c r="AU8" s="18"/>
    </row>
    <row r="9" spans="1:47" ht="18.95">
      <c r="A9" t="s">
        <v>15</v>
      </c>
      <c r="B9" s="26" t="s">
        <v>1</v>
      </c>
      <c r="C9" s="26" t="s">
        <v>1</v>
      </c>
      <c r="D9" s="26" t="s">
        <v>2</v>
      </c>
      <c r="E9" s="26" t="s">
        <v>2</v>
      </c>
      <c r="F9" s="26">
        <v>0</v>
      </c>
      <c r="G9" s="26">
        <v>9</v>
      </c>
      <c r="H9" s="26">
        <v>1</v>
      </c>
      <c r="I9" s="26">
        <v>8</v>
      </c>
      <c r="J9" s="26">
        <v>2</v>
      </c>
      <c r="K9" s="26">
        <v>7</v>
      </c>
      <c r="L9" s="26">
        <v>3</v>
      </c>
      <c r="M9" s="26">
        <v>6</v>
      </c>
      <c r="N9" s="26" t="s">
        <v>3</v>
      </c>
      <c r="O9" s="26" t="s">
        <v>3</v>
      </c>
      <c r="P9" s="26" t="s">
        <v>4</v>
      </c>
      <c r="Q9" s="26" t="s">
        <v>4</v>
      </c>
    </row>
    <row r="10" spans="1:47">
      <c r="A10" t="s">
        <v>16</v>
      </c>
      <c r="B10" t="str">
        <f>HEX2BIN(B9,4)</f>
        <v>1010</v>
      </c>
      <c r="C10" t="str">
        <f t="shared" ref="C10:Q10" si="1">HEX2BIN(C9,4)</f>
        <v>1010</v>
      </c>
      <c r="D10" t="str">
        <f t="shared" si="1"/>
        <v>1011</v>
      </c>
      <c r="E10" t="str">
        <f t="shared" si="1"/>
        <v>1011</v>
      </c>
      <c r="F10" t="str">
        <f t="shared" si="1"/>
        <v>0000</v>
      </c>
      <c r="G10" t="str">
        <f t="shared" si="1"/>
        <v>1001</v>
      </c>
      <c r="H10" t="str">
        <f t="shared" si="1"/>
        <v>0001</v>
      </c>
      <c r="I10" t="str">
        <f t="shared" si="1"/>
        <v>1000</v>
      </c>
      <c r="J10" t="str">
        <f t="shared" si="1"/>
        <v>0010</v>
      </c>
      <c r="K10" t="str">
        <f t="shared" si="1"/>
        <v>0111</v>
      </c>
      <c r="L10" t="str">
        <f t="shared" si="1"/>
        <v>0011</v>
      </c>
      <c r="M10" t="str">
        <f t="shared" si="1"/>
        <v>0110</v>
      </c>
      <c r="N10" t="str">
        <f t="shared" si="1"/>
        <v>1100</v>
      </c>
      <c r="O10" t="str">
        <f t="shared" si="1"/>
        <v>1100</v>
      </c>
      <c r="P10" t="str">
        <f t="shared" si="1"/>
        <v>1101</v>
      </c>
      <c r="Q10" t="str">
        <f t="shared" si="1"/>
        <v>1101</v>
      </c>
    </row>
    <row r="11" spans="1:47">
      <c r="A11" t="s">
        <v>17</v>
      </c>
      <c r="B11" t="str">
        <f>CONCATENATE(B10,C10,D10,E10,F10,G10,H10,I10,J10,K10,L10,M10,N10,O10,P10,Q10)</f>
        <v>1010101010111011000010010001100000100111001101101100110011011101</v>
      </c>
    </row>
    <row r="13" spans="1:47" ht="18.95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T13" s="26">
        <v>3</v>
      </c>
      <c r="U13" s="26">
        <v>5</v>
      </c>
      <c r="V13" s="26">
        <v>7</v>
      </c>
      <c r="W13" s="26">
        <v>0</v>
      </c>
      <c r="X13" s="26" t="s">
        <v>18</v>
      </c>
      <c r="Y13" s="26">
        <v>2</v>
      </c>
      <c r="Z13" s="26" t="s">
        <v>19</v>
      </c>
      <c r="AA13" s="26">
        <v>1</v>
      </c>
      <c r="AB13" s="26" t="s">
        <v>2</v>
      </c>
      <c r="AC13" s="26" t="s">
        <v>1</v>
      </c>
      <c r="AD13" s="26">
        <v>4</v>
      </c>
      <c r="AE13" s="26">
        <v>6</v>
      </c>
      <c r="AF13" s="26">
        <v>8</v>
      </c>
      <c r="AG13" s="26">
        <v>2</v>
      </c>
      <c r="AH13" s="26" t="s">
        <v>3</v>
      </c>
      <c r="AI13" s="26">
        <v>7</v>
      </c>
    </row>
    <row r="14" spans="1:47">
      <c r="A14" t="s">
        <v>20</v>
      </c>
      <c r="B14">
        <v>1</v>
      </c>
      <c r="C14" s="1" t="str">
        <f t="shared" ref="C14:J21" si="2">MID($B$5,VLOOKUP($B14,IP,C$13+1,FALSE),1)</f>
        <v>0</v>
      </c>
      <c r="D14" s="1" t="str">
        <f t="shared" si="2"/>
        <v>0</v>
      </c>
      <c r="E14" s="1" t="str">
        <f t="shared" si="2"/>
        <v>0</v>
      </c>
      <c r="F14" s="1" t="str">
        <f t="shared" si="2"/>
        <v>1</v>
      </c>
      <c r="G14" s="1" t="str">
        <f t="shared" si="2"/>
        <v>0</v>
      </c>
      <c r="H14" s="1" t="str">
        <f t="shared" si="2"/>
        <v>1</v>
      </c>
      <c r="I14" s="1" t="str">
        <f t="shared" si="2"/>
        <v>0</v>
      </c>
      <c r="J14" s="1" t="str">
        <f t="shared" si="2"/>
        <v>0</v>
      </c>
      <c r="K14" s="6" t="str">
        <f>CONCATENATE(C14,D14,E14,F14,G14,H14,I14,J14)</f>
        <v>00010100</v>
      </c>
    </row>
    <row r="15" spans="1:47" ht="18.95">
      <c r="B15">
        <v>2</v>
      </c>
      <c r="C15" s="1" t="str">
        <f t="shared" si="2"/>
        <v>1</v>
      </c>
      <c r="D15" s="1" t="str">
        <f t="shared" si="2"/>
        <v>0</v>
      </c>
      <c r="E15" s="1" t="str">
        <f t="shared" si="2"/>
        <v>1</v>
      </c>
      <c r="F15" s="1" t="str">
        <f t="shared" si="2"/>
        <v>0</v>
      </c>
      <c r="G15" s="1" t="str">
        <f t="shared" si="2"/>
        <v>0</v>
      </c>
      <c r="H15" s="1" t="str">
        <f t="shared" si="2"/>
        <v>1</v>
      </c>
      <c r="I15" s="1" t="str">
        <f t="shared" si="2"/>
        <v>1</v>
      </c>
      <c r="J15" s="1" t="str">
        <f t="shared" si="2"/>
        <v>1</v>
      </c>
      <c r="K15" s="6" t="str">
        <f t="shared" ref="K15:K21" si="3">CONCATENATE(C15,D15,E15,F15,G15,H15,I15,J15)</f>
        <v>10100111</v>
      </c>
      <c r="W15" s="20"/>
    </row>
    <row r="16" spans="1:47">
      <c r="B16">
        <v>3</v>
      </c>
      <c r="C16" s="1" t="str">
        <f t="shared" si="2"/>
        <v>1</v>
      </c>
      <c r="D16" s="1" t="str">
        <f t="shared" si="2"/>
        <v>1</v>
      </c>
      <c r="E16" s="1" t="str">
        <f t="shared" si="2"/>
        <v>0</v>
      </c>
      <c r="F16" s="1" t="str">
        <f t="shared" si="2"/>
        <v>1</v>
      </c>
      <c r="G16" s="1" t="str">
        <f t="shared" si="2"/>
        <v>0</v>
      </c>
      <c r="H16" s="1" t="str">
        <f t="shared" si="2"/>
        <v>1</v>
      </c>
      <c r="I16" s="1" t="str">
        <f t="shared" si="2"/>
        <v>1</v>
      </c>
      <c r="J16" s="1" t="str">
        <f t="shared" si="2"/>
        <v>0</v>
      </c>
      <c r="K16" s="6" t="str">
        <f t="shared" si="3"/>
        <v>11010110</v>
      </c>
    </row>
    <row r="17" spans="1:27">
      <c r="B17">
        <v>4</v>
      </c>
      <c r="C17" s="1" t="str">
        <f t="shared" si="2"/>
        <v>0</v>
      </c>
      <c r="D17" s="1" t="str">
        <f t="shared" si="2"/>
        <v>1</v>
      </c>
      <c r="E17" s="1" t="str">
        <f t="shared" si="2"/>
        <v>1</v>
      </c>
      <c r="F17" s="1" t="str">
        <f t="shared" si="2"/>
        <v>1</v>
      </c>
      <c r="G17" s="1" t="str">
        <f t="shared" si="2"/>
        <v>1</v>
      </c>
      <c r="H17" s="1" t="str">
        <f t="shared" si="2"/>
        <v>0</v>
      </c>
      <c r="I17" s="1" t="str">
        <f t="shared" si="2"/>
        <v>0</v>
      </c>
      <c r="J17" s="1" t="str">
        <f t="shared" si="2"/>
        <v>0</v>
      </c>
      <c r="K17" s="6" t="str">
        <f t="shared" si="3"/>
        <v>01111000</v>
      </c>
    </row>
    <row r="18" spans="1:27">
      <c r="B18">
        <v>5</v>
      </c>
      <c r="C18" s="1" t="str">
        <f t="shared" si="2"/>
        <v>0</v>
      </c>
      <c r="D18" s="1" t="str">
        <f t="shared" si="2"/>
        <v>0</v>
      </c>
      <c r="E18" s="1" t="str">
        <f t="shared" si="2"/>
        <v>0</v>
      </c>
      <c r="F18" s="1" t="str">
        <f t="shared" si="2"/>
        <v>1</v>
      </c>
      <c r="G18" s="1" t="str">
        <f t="shared" si="2"/>
        <v>1</v>
      </c>
      <c r="H18" s="1" t="str">
        <f t="shared" si="2"/>
        <v>0</v>
      </c>
      <c r="I18" s="1" t="str">
        <f t="shared" si="2"/>
        <v>0</v>
      </c>
      <c r="J18" s="1" t="str">
        <f t="shared" si="2"/>
        <v>0</v>
      </c>
      <c r="K18" s="6" t="str">
        <f t="shared" si="3"/>
        <v>00011000</v>
      </c>
    </row>
    <row r="19" spans="1:27">
      <c r="B19">
        <v>6</v>
      </c>
      <c r="C19" s="1" t="str">
        <f t="shared" si="2"/>
        <v>1</v>
      </c>
      <c r="D19" s="1" t="str">
        <f t="shared" si="2"/>
        <v>1</v>
      </c>
      <c r="E19" s="1" t="str">
        <f t="shared" si="2"/>
        <v>0</v>
      </c>
      <c r="F19" s="1" t="str">
        <f t="shared" si="2"/>
        <v>0</v>
      </c>
      <c r="G19" s="1" t="str">
        <f t="shared" si="2"/>
        <v>1</v>
      </c>
      <c r="H19" s="1" t="str">
        <f t="shared" si="2"/>
        <v>0</v>
      </c>
      <c r="I19" s="1" t="str">
        <f t="shared" si="2"/>
        <v>1</v>
      </c>
      <c r="J19" s="1" t="str">
        <f t="shared" si="2"/>
        <v>0</v>
      </c>
      <c r="K19" s="6" t="str">
        <f t="shared" si="3"/>
        <v>11001010</v>
      </c>
    </row>
    <row r="20" spans="1:27">
      <c r="B20">
        <v>7</v>
      </c>
      <c r="C20" s="1" t="str">
        <f t="shared" si="2"/>
        <v>0</v>
      </c>
      <c r="D20" s="1" t="str">
        <f t="shared" si="2"/>
        <v>0</v>
      </c>
      <c r="E20" s="1" t="str">
        <f t="shared" si="2"/>
        <v>0</v>
      </c>
      <c r="F20" s="1" t="str">
        <f t="shared" si="2"/>
        <v>1</v>
      </c>
      <c r="G20" s="1" t="str">
        <f t="shared" si="2"/>
        <v>1</v>
      </c>
      <c r="H20" s="1" t="str">
        <f t="shared" si="2"/>
        <v>0</v>
      </c>
      <c r="I20" s="1" t="str">
        <f t="shared" si="2"/>
        <v>0</v>
      </c>
      <c r="J20" s="1" t="str">
        <f t="shared" si="2"/>
        <v>0</v>
      </c>
      <c r="K20" s="6" t="str">
        <f t="shared" si="3"/>
        <v>00011000</v>
      </c>
    </row>
    <row r="21" spans="1:27">
      <c r="B21">
        <v>8</v>
      </c>
      <c r="C21" s="1" t="str">
        <f t="shared" si="2"/>
        <v>1</v>
      </c>
      <c r="D21" s="1" t="str">
        <f t="shared" si="2"/>
        <v>0</v>
      </c>
      <c r="E21" s="1" t="str">
        <f t="shared" si="2"/>
        <v>1</v>
      </c>
      <c r="F21" s="1" t="str">
        <f t="shared" si="2"/>
        <v>0</v>
      </c>
      <c r="G21" s="1" t="str">
        <f t="shared" si="2"/>
        <v>1</v>
      </c>
      <c r="H21" s="1" t="str">
        <f t="shared" si="2"/>
        <v>1</v>
      </c>
      <c r="I21" s="1" t="str">
        <f t="shared" si="2"/>
        <v>0</v>
      </c>
      <c r="J21" s="1" t="str">
        <f t="shared" si="2"/>
        <v>1</v>
      </c>
      <c r="K21" s="6" t="str">
        <f t="shared" si="3"/>
        <v>10101101</v>
      </c>
    </row>
    <row r="22" spans="1:27">
      <c r="K22">
        <v>1</v>
      </c>
      <c r="L22">
        <f>K22+4</f>
        <v>5</v>
      </c>
      <c r="M22">
        <f t="shared" ref="M22:R22" si="4">L22+4</f>
        <v>9</v>
      </c>
      <c r="N22">
        <f t="shared" si="4"/>
        <v>13</v>
      </c>
      <c r="O22">
        <f t="shared" si="4"/>
        <v>17</v>
      </c>
      <c r="P22">
        <f t="shared" si="4"/>
        <v>21</v>
      </c>
      <c r="Q22">
        <f t="shared" si="4"/>
        <v>25</v>
      </c>
      <c r="R22">
        <f t="shared" si="4"/>
        <v>29</v>
      </c>
    </row>
    <row r="23" spans="1:27">
      <c r="A23" t="s">
        <v>21</v>
      </c>
      <c r="B23" t="str">
        <f>CONCATENATE(K14,K15,K16,K17)</f>
        <v>00010100101001111101011001111000</v>
      </c>
      <c r="K23" t="str">
        <f>MID($B23,K$22,4)</f>
        <v>0001</v>
      </c>
      <c r="L23" t="str">
        <f t="shared" ref="L23:R24" si="5">MID($B23,L$22,4)</f>
        <v>0100</v>
      </c>
      <c r="M23" t="str">
        <f t="shared" si="5"/>
        <v>1010</v>
      </c>
      <c r="N23" t="str">
        <f t="shared" si="5"/>
        <v>0111</v>
      </c>
      <c r="O23" t="str">
        <f t="shared" si="5"/>
        <v>1101</v>
      </c>
      <c r="P23" t="str">
        <f t="shared" si="5"/>
        <v>0110</v>
      </c>
      <c r="Q23" t="str">
        <f t="shared" si="5"/>
        <v>0111</v>
      </c>
      <c r="R23" t="str">
        <f t="shared" si="5"/>
        <v>1000</v>
      </c>
      <c r="S23" s="2" t="str">
        <f>BIN2HEX(K23)</f>
        <v>1</v>
      </c>
      <c r="T23" s="2" t="str">
        <f t="shared" ref="T23:Z23" si="6">BIN2HEX(L23)</f>
        <v>4</v>
      </c>
      <c r="U23" s="2" t="str">
        <f t="shared" si="6"/>
        <v>A</v>
      </c>
      <c r="V23" s="2" t="str">
        <f t="shared" si="6"/>
        <v>7</v>
      </c>
      <c r="W23" s="2" t="str">
        <f t="shared" si="6"/>
        <v>D</v>
      </c>
      <c r="X23" s="2" t="str">
        <f t="shared" si="6"/>
        <v>6</v>
      </c>
      <c r="Y23" s="2" t="str">
        <f t="shared" si="6"/>
        <v>7</v>
      </c>
      <c r="Z23" s="2" t="str">
        <f t="shared" si="6"/>
        <v>8</v>
      </c>
      <c r="AA23" s="2"/>
    </row>
    <row r="24" spans="1:27">
      <c r="A24" t="s">
        <v>22</v>
      </c>
      <c r="B24" t="str">
        <f>CONCATENATE(K18,K19,K20,K21)</f>
        <v>00011000110010100001100010101101</v>
      </c>
      <c r="K24" t="str">
        <f>MID($B24,K$22,4)</f>
        <v>0001</v>
      </c>
      <c r="L24" t="str">
        <f t="shared" si="5"/>
        <v>1000</v>
      </c>
      <c r="M24" t="str">
        <f t="shared" si="5"/>
        <v>1100</v>
      </c>
      <c r="N24" t="str">
        <f t="shared" si="5"/>
        <v>1010</v>
      </c>
      <c r="O24" t="str">
        <f t="shared" si="5"/>
        <v>0001</v>
      </c>
      <c r="P24" t="str">
        <f t="shared" si="5"/>
        <v>1000</v>
      </c>
      <c r="Q24" t="str">
        <f t="shared" si="5"/>
        <v>1010</v>
      </c>
      <c r="R24" t="str">
        <f t="shared" si="5"/>
        <v>1101</v>
      </c>
      <c r="S24" s="2" t="str">
        <f>BIN2HEX(K24)</f>
        <v>1</v>
      </c>
      <c r="T24" s="2" t="str">
        <f t="shared" ref="T24" si="7">BIN2HEX(L24)</f>
        <v>8</v>
      </c>
      <c r="U24" s="2" t="str">
        <f t="shared" ref="U24" si="8">BIN2HEX(M24)</f>
        <v>C</v>
      </c>
      <c r="V24" s="2" t="str">
        <f t="shared" ref="V24" si="9">BIN2HEX(N24)</f>
        <v>A</v>
      </c>
      <c r="W24" s="2" t="str">
        <f t="shared" ref="W24" si="10">BIN2HEX(O24)</f>
        <v>1</v>
      </c>
      <c r="X24" s="2" t="str">
        <f t="shared" ref="X24" si="11">BIN2HEX(P24)</f>
        <v>8</v>
      </c>
      <c r="Y24" s="2" t="str">
        <f t="shared" ref="Y24" si="12">BIN2HEX(Q24)</f>
        <v>A</v>
      </c>
      <c r="Z24" s="2" t="str">
        <f t="shared" ref="Z24" si="13">BIN2HEX(R24)</f>
        <v>D</v>
      </c>
    </row>
    <row r="27" spans="1:27">
      <c r="B27" s="9" t="s">
        <v>21</v>
      </c>
      <c r="C27" t="str">
        <f>B23</f>
        <v>00010100101001111101011001111000</v>
      </c>
      <c r="K27" s="9" t="s">
        <v>22</v>
      </c>
      <c r="L27" t="str">
        <f>B24</f>
        <v>00011000110010100001100010101101</v>
      </c>
      <c r="U27">
        <v>0</v>
      </c>
      <c r="V27" t="str">
        <f t="shared" ref="V27:V43" si="14">CONCATENATE(K27,"||",B27)</f>
        <v>R0||L0</v>
      </c>
      <c r="X27" t="str">
        <f t="shared" ref="X27:X43" si="15">CONCATENATE(L27,C27)</f>
        <v>0001100011001010000110001010110100010100101001111101011001111000</v>
      </c>
    </row>
    <row r="28" spans="1:27">
      <c r="B28" s="9" t="s">
        <v>23</v>
      </c>
      <c r="C28" t="str">
        <f>L27</f>
        <v>00011000110010100001100010101101</v>
      </c>
      <c r="K28" s="9" t="s">
        <v>24</v>
      </c>
      <c r="L28" t="str">
        <f>'R1'!$B$49</f>
        <v>01011010011110001110001110010100</v>
      </c>
      <c r="U28">
        <v>1</v>
      </c>
      <c r="V28" t="str">
        <f t="shared" si="14"/>
        <v>R1||L1</v>
      </c>
      <c r="X28" t="str">
        <f t="shared" si="15"/>
        <v>0101101001111000111000111001010000011000110010100001100010101101</v>
      </c>
    </row>
    <row r="29" spans="1:27">
      <c r="B29" s="9" t="s">
        <v>25</v>
      </c>
      <c r="C29" t="str">
        <f t="shared" ref="C29:C43" si="16">L28</f>
        <v>01011010011110001110001110010100</v>
      </c>
      <c r="K29" s="9" t="s">
        <v>26</v>
      </c>
      <c r="L29" t="str">
        <f>'R2'!$B$49</f>
        <v>01001010000100100001000011110110</v>
      </c>
      <c r="U29">
        <v>2</v>
      </c>
      <c r="V29" t="str">
        <f t="shared" si="14"/>
        <v>R2||L2</v>
      </c>
      <c r="X29" t="str">
        <f t="shared" si="15"/>
        <v>0100101000010010000100001111011001011010011110001110001110010100</v>
      </c>
    </row>
    <row r="30" spans="1:27">
      <c r="B30" s="9" t="s">
        <v>27</v>
      </c>
      <c r="C30" t="str">
        <f t="shared" si="16"/>
        <v>01001010000100100001000011110110</v>
      </c>
      <c r="K30" s="9" t="s">
        <v>28</v>
      </c>
      <c r="L30" t="str">
        <f>'R3'!$B$49</f>
        <v>10111000000010001001010110010001</v>
      </c>
      <c r="U30">
        <v>3</v>
      </c>
      <c r="V30" t="str">
        <f t="shared" si="14"/>
        <v>R3||L3</v>
      </c>
      <c r="X30" t="str">
        <f t="shared" si="15"/>
        <v>1011100000001000100101011001000101001010000100100001000011110110</v>
      </c>
    </row>
    <row r="31" spans="1:27">
      <c r="B31" s="9" t="s">
        <v>29</v>
      </c>
      <c r="C31" t="str">
        <f t="shared" si="16"/>
        <v>10111000000010001001010110010001</v>
      </c>
      <c r="K31" s="9" t="s">
        <v>30</v>
      </c>
      <c r="L31" t="str">
        <f>'R4'!$B$49</f>
        <v>00100011011001110111100111000010</v>
      </c>
      <c r="U31">
        <v>4</v>
      </c>
      <c r="V31" t="str">
        <f t="shared" si="14"/>
        <v>R4||L4</v>
      </c>
      <c r="X31" t="str">
        <f t="shared" si="15"/>
        <v>0010001101100111011110011100001010111000000010001001010110010001</v>
      </c>
    </row>
    <row r="32" spans="1:27">
      <c r="B32" s="9" t="s">
        <v>31</v>
      </c>
      <c r="C32" t="str">
        <f t="shared" si="16"/>
        <v>00100011011001110111100111000010</v>
      </c>
      <c r="K32" s="9" t="s">
        <v>32</v>
      </c>
      <c r="L32" t="str">
        <f>'R5'!$B$49</f>
        <v>10100001010110100100101110000111</v>
      </c>
      <c r="U32">
        <v>5</v>
      </c>
      <c r="V32" t="str">
        <f t="shared" si="14"/>
        <v>R5||L5</v>
      </c>
      <c r="X32" t="str">
        <f t="shared" si="15"/>
        <v>1010000101011010010010111000011100100011011001110111100111000010</v>
      </c>
    </row>
    <row r="33" spans="2:87">
      <c r="B33" s="9" t="s">
        <v>33</v>
      </c>
      <c r="C33" t="str">
        <f t="shared" si="16"/>
        <v>10100001010110100100101110000111</v>
      </c>
      <c r="K33" s="9" t="s">
        <v>34</v>
      </c>
      <c r="L33" t="str">
        <f>'R6'!$B$49</f>
        <v>00101110100011111001110001100101</v>
      </c>
      <c r="U33">
        <v>6</v>
      </c>
      <c r="V33" t="str">
        <f t="shared" si="14"/>
        <v>R6||L6</v>
      </c>
      <c r="X33" t="str">
        <f t="shared" si="15"/>
        <v>0010111010001111100111000110010110100001010110100100101110000111</v>
      </c>
    </row>
    <row r="34" spans="2:87">
      <c r="B34" s="9" t="s">
        <v>35</v>
      </c>
      <c r="C34" t="str">
        <f t="shared" si="16"/>
        <v>00101110100011111001110001100101</v>
      </c>
      <c r="K34" s="9" t="s">
        <v>36</v>
      </c>
      <c r="L34" t="str">
        <f>'R7'!$B$49</f>
        <v>10101001111111000010000010100011</v>
      </c>
      <c r="U34">
        <v>7</v>
      </c>
      <c r="V34" t="str">
        <f t="shared" si="14"/>
        <v>R7||L7</v>
      </c>
      <c r="X34" t="str">
        <f t="shared" si="15"/>
        <v>1010100111111100001000001010001100101110100011111001110001100101</v>
      </c>
    </row>
    <row r="35" spans="2:87">
      <c r="B35" s="9" t="s">
        <v>37</v>
      </c>
      <c r="C35" t="str">
        <f t="shared" si="16"/>
        <v>10101001111111000010000010100011</v>
      </c>
      <c r="K35" s="9" t="s">
        <v>38</v>
      </c>
      <c r="L35" t="str">
        <f>'R8'!$B$49</f>
        <v>00110000100010111110111010010111</v>
      </c>
      <c r="U35">
        <v>8</v>
      </c>
      <c r="V35" t="str">
        <f t="shared" si="14"/>
        <v>R8||L8</v>
      </c>
      <c r="X35" t="str">
        <f t="shared" si="15"/>
        <v>0011000010001011111011101001011110101001111111000010000010100011</v>
      </c>
    </row>
    <row r="36" spans="2:87">
      <c r="B36" s="9" t="s">
        <v>39</v>
      </c>
      <c r="C36" t="str">
        <f t="shared" si="16"/>
        <v>00110000100010111110111010010111</v>
      </c>
      <c r="K36" s="9" t="s">
        <v>40</v>
      </c>
      <c r="L36" t="str">
        <f>'R9'!$B$49</f>
        <v>00010000101011111001110100110111</v>
      </c>
      <c r="U36">
        <v>9</v>
      </c>
      <c r="V36" t="str">
        <f t="shared" si="14"/>
        <v>R9||L9</v>
      </c>
      <c r="X36" t="str">
        <f t="shared" si="15"/>
        <v>0001000010101111100111010011011100110000100010111110111010010111</v>
      </c>
    </row>
    <row r="37" spans="2:87">
      <c r="B37" s="9" t="s">
        <v>41</v>
      </c>
      <c r="C37" t="str">
        <f t="shared" si="16"/>
        <v>00010000101011111001110100110111</v>
      </c>
      <c r="K37" s="9" t="s">
        <v>42</v>
      </c>
      <c r="L37" t="str">
        <f>'R10'!$B$49</f>
        <v>01101100101001101100101100100000</v>
      </c>
      <c r="U37">
        <v>10</v>
      </c>
      <c r="V37" t="str">
        <f t="shared" si="14"/>
        <v>R10||L10</v>
      </c>
      <c r="X37" t="str">
        <f t="shared" si="15"/>
        <v>0110110010100110110010110010000000010000101011111001110100110111</v>
      </c>
    </row>
    <row r="38" spans="2:87">
      <c r="B38" s="9" t="s">
        <v>43</v>
      </c>
      <c r="C38" t="str">
        <f t="shared" si="16"/>
        <v>01101100101001101100101100100000</v>
      </c>
      <c r="K38" s="9" t="s">
        <v>44</v>
      </c>
      <c r="L38" t="str">
        <f>'R11'!$B$49</f>
        <v>11111111001111000100100001011111</v>
      </c>
      <c r="U38">
        <v>11</v>
      </c>
      <c r="V38" t="str">
        <f t="shared" si="14"/>
        <v>R11||L11</v>
      </c>
      <c r="X38" t="str">
        <f t="shared" si="15"/>
        <v>1111111100111100010010000101111101101100101001101100101100100000</v>
      </c>
    </row>
    <row r="39" spans="2:87">
      <c r="B39" s="9" t="s">
        <v>45</v>
      </c>
      <c r="C39" t="str">
        <f t="shared" si="16"/>
        <v>11111111001111000100100001011111</v>
      </c>
      <c r="K39" s="9" t="s">
        <v>46</v>
      </c>
      <c r="L39" t="str">
        <f>'R12'!$B$49</f>
        <v>00100010101001011001011000111011</v>
      </c>
      <c r="U39">
        <v>12</v>
      </c>
      <c r="V39" t="str">
        <f t="shared" si="14"/>
        <v>R12||L12</v>
      </c>
      <c r="X39" t="str">
        <f t="shared" si="15"/>
        <v>0010001010100101100101100011101111111111001111000100100001011111</v>
      </c>
    </row>
    <row r="40" spans="2:87">
      <c r="B40" s="9" t="s">
        <v>47</v>
      </c>
      <c r="C40" t="str">
        <f t="shared" si="16"/>
        <v>00100010101001011001011000111011</v>
      </c>
      <c r="K40" s="9" t="s">
        <v>48</v>
      </c>
      <c r="L40" t="str">
        <f>'R13'!$B$49</f>
        <v>00111000011111001100110110101010</v>
      </c>
      <c r="U40">
        <v>13</v>
      </c>
      <c r="V40" t="str">
        <f t="shared" si="14"/>
        <v>R13||L13</v>
      </c>
      <c r="X40" t="str">
        <f t="shared" si="15"/>
        <v>0011100001111100110011011010101000100010101001011001011000111011</v>
      </c>
    </row>
    <row r="41" spans="2:87">
      <c r="B41" s="9" t="s">
        <v>49</v>
      </c>
      <c r="C41" t="str">
        <f t="shared" si="16"/>
        <v>00111000011111001100110110101010</v>
      </c>
      <c r="K41" s="9" t="s">
        <v>50</v>
      </c>
      <c r="L41" t="str">
        <f>'R14'!$B$49</f>
        <v>10111101001011011101001010101011</v>
      </c>
      <c r="U41">
        <v>14</v>
      </c>
      <c r="V41" t="str">
        <f t="shared" si="14"/>
        <v>R14||L14</v>
      </c>
      <c r="X41" t="str">
        <f t="shared" si="15"/>
        <v>1011110100101101110100101010101100111000011111001100110110101010</v>
      </c>
    </row>
    <row r="42" spans="2:87">
      <c r="B42" s="9" t="s">
        <v>51</v>
      </c>
      <c r="C42" t="str">
        <f t="shared" si="16"/>
        <v>10111101001011011101001010101011</v>
      </c>
      <c r="K42" s="9" t="s">
        <v>52</v>
      </c>
      <c r="L42" t="str">
        <f>'R15'!$B$49</f>
        <v>11001111001001101011010001110010</v>
      </c>
      <c r="U42">
        <v>15</v>
      </c>
      <c r="V42" t="str">
        <f t="shared" si="14"/>
        <v>R15||L15</v>
      </c>
      <c r="X42" t="str">
        <f t="shared" si="15"/>
        <v>1100111100100110101101000111001010111101001011011101001010101011</v>
      </c>
    </row>
    <row r="43" spans="2:87">
      <c r="B43" s="9" t="s">
        <v>53</v>
      </c>
      <c r="C43" t="str">
        <f t="shared" si="16"/>
        <v>11001111001001101011010001110010</v>
      </c>
      <c r="K43" s="9" t="s">
        <v>54</v>
      </c>
      <c r="L43" t="str">
        <f>'R16'!$B$49</f>
        <v>00011001101110101001001000010010</v>
      </c>
      <c r="U43">
        <v>16</v>
      </c>
      <c r="V43" t="str">
        <f t="shared" si="14"/>
        <v>R16||L16</v>
      </c>
      <c r="X43" t="str">
        <f t="shared" si="15"/>
        <v>0001100110111010100100100001001011001111001001101011010001110010</v>
      </c>
    </row>
    <row r="45" spans="2:87">
      <c r="C45" s="9">
        <v>1</v>
      </c>
      <c r="D45" s="9">
        <f>C45+4</f>
        <v>5</v>
      </c>
      <c r="E45" s="9">
        <f t="shared" ref="E45" si="17">D45+4</f>
        <v>9</v>
      </c>
      <c r="F45" s="9">
        <f t="shared" ref="F45" si="18">E45+4</f>
        <v>13</v>
      </c>
      <c r="G45" s="9">
        <f t="shared" ref="G45" si="19">F45+4</f>
        <v>17</v>
      </c>
      <c r="H45" s="9">
        <f t="shared" ref="H45" si="20">G45+4</f>
        <v>21</v>
      </c>
      <c r="I45" s="9">
        <f t="shared" ref="I45" si="21">H45+4</f>
        <v>25</v>
      </c>
      <c r="J45" s="9">
        <f t="shared" ref="J45" si="22">I45+4</f>
        <v>29</v>
      </c>
      <c r="K45" s="9"/>
      <c r="L45" s="9">
        <v>1</v>
      </c>
      <c r="M45" s="9">
        <f>L45+4</f>
        <v>5</v>
      </c>
      <c r="N45" s="9">
        <f t="shared" ref="N45" si="23">M45+4</f>
        <v>9</v>
      </c>
      <c r="O45" s="9">
        <f t="shared" ref="O45" si="24">N45+4</f>
        <v>13</v>
      </c>
      <c r="P45" s="9">
        <f t="shared" ref="P45" si="25">O45+4</f>
        <v>17</v>
      </c>
      <c r="Q45" s="9">
        <f t="shared" ref="Q45" si="26">P45+4</f>
        <v>21</v>
      </c>
      <c r="R45" s="9">
        <f t="shared" ref="R45" si="27">Q45+4</f>
        <v>25</v>
      </c>
      <c r="S45" s="9">
        <f t="shared" ref="S45" si="28">R45+4</f>
        <v>29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</row>
    <row r="46" spans="2:87">
      <c r="B46" s="9" t="s">
        <v>21</v>
      </c>
      <c r="C46" t="str">
        <f>MID($C27,C$45,4)</f>
        <v>0001</v>
      </c>
      <c r="D46" t="str">
        <f t="shared" ref="D46:J46" si="29">MID($C27,D$45,4)</f>
        <v>0100</v>
      </c>
      <c r="E46" t="str">
        <f t="shared" si="29"/>
        <v>1010</v>
      </c>
      <c r="F46" t="str">
        <f t="shared" si="29"/>
        <v>0111</v>
      </c>
      <c r="G46" t="str">
        <f t="shared" si="29"/>
        <v>1101</v>
      </c>
      <c r="H46" t="str">
        <f t="shared" si="29"/>
        <v>0110</v>
      </c>
      <c r="I46" t="str">
        <f t="shared" si="29"/>
        <v>0111</v>
      </c>
      <c r="J46" t="str">
        <f t="shared" si="29"/>
        <v>1000</v>
      </c>
      <c r="K46" s="9" t="s">
        <v>22</v>
      </c>
      <c r="L46" t="str">
        <f>MID($L27,L$45,4)</f>
        <v>0001</v>
      </c>
      <c r="M46" t="str">
        <f t="shared" ref="M46:S46" si="30">MID($L27,M$45,4)</f>
        <v>1000</v>
      </c>
      <c r="N46" t="str">
        <f t="shared" si="30"/>
        <v>1100</v>
      </c>
      <c r="O46" t="str">
        <f t="shared" si="30"/>
        <v>1010</v>
      </c>
      <c r="P46" t="str">
        <f t="shared" si="30"/>
        <v>0001</v>
      </c>
      <c r="Q46" t="str">
        <f t="shared" si="30"/>
        <v>1000</v>
      </c>
      <c r="R46" t="str">
        <f t="shared" si="30"/>
        <v>1010</v>
      </c>
      <c r="S46" t="str">
        <f t="shared" si="30"/>
        <v>1101</v>
      </c>
      <c r="U46" s="9" t="s">
        <v>5</v>
      </c>
      <c r="W46" s="1"/>
      <c r="X46" s="13">
        <f>V3</f>
        <v>16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</row>
    <row r="47" spans="2:87">
      <c r="B47" s="9" t="s">
        <v>23</v>
      </c>
      <c r="C47" t="str">
        <f t="shared" ref="C47:J47" si="31">MID($C28,C$45,4)</f>
        <v>0001</v>
      </c>
      <c r="D47" t="str">
        <f t="shared" si="31"/>
        <v>1000</v>
      </c>
      <c r="E47" t="str">
        <f t="shared" si="31"/>
        <v>1100</v>
      </c>
      <c r="F47" t="str">
        <f t="shared" si="31"/>
        <v>1010</v>
      </c>
      <c r="G47" t="str">
        <f t="shared" si="31"/>
        <v>0001</v>
      </c>
      <c r="H47" t="str">
        <f t="shared" si="31"/>
        <v>1000</v>
      </c>
      <c r="I47" t="str">
        <f t="shared" si="31"/>
        <v>1010</v>
      </c>
      <c r="J47" t="str">
        <f t="shared" si="31"/>
        <v>1101</v>
      </c>
      <c r="K47" s="9" t="s">
        <v>24</v>
      </c>
      <c r="L47" t="str">
        <f t="shared" ref="L47:S47" si="32">MID($L28,L$45,4)</f>
        <v>0101</v>
      </c>
      <c r="M47" t="str">
        <f t="shared" si="32"/>
        <v>1010</v>
      </c>
      <c r="N47" t="str">
        <f t="shared" si="32"/>
        <v>0111</v>
      </c>
      <c r="O47" t="str">
        <f t="shared" si="32"/>
        <v>1000</v>
      </c>
      <c r="P47" t="str">
        <f t="shared" si="32"/>
        <v>1110</v>
      </c>
      <c r="Q47" t="str">
        <f t="shared" si="32"/>
        <v>0011</v>
      </c>
      <c r="R47" t="str">
        <f t="shared" si="32"/>
        <v>1001</v>
      </c>
      <c r="S47" t="str">
        <f t="shared" si="32"/>
        <v>0100</v>
      </c>
      <c r="U47" t="str">
        <f>VLOOKUP(X46,RL,2,FALSE)</f>
        <v>R16||L16</v>
      </c>
      <c r="W47" s="1"/>
      <c r="X47" s="6" t="str">
        <f>VLOOKUP(X46,RL,4,FALSE)</f>
        <v>0001100110111010100100100001001011001111001001101011010001110010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2:87">
      <c r="B48" s="9" t="s">
        <v>25</v>
      </c>
      <c r="C48" t="str">
        <f t="shared" ref="C48:J48" si="33">MID($C29,C$45,4)</f>
        <v>0101</v>
      </c>
      <c r="D48" t="str">
        <f t="shared" si="33"/>
        <v>1010</v>
      </c>
      <c r="E48" t="str">
        <f t="shared" si="33"/>
        <v>0111</v>
      </c>
      <c r="F48" t="str">
        <f t="shared" si="33"/>
        <v>1000</v>
      </c>
      <c r="G48" t="str">
        <f t="shared" si="33"/>
        <v>1110</v>
      </c>
      <c r="H48" t="str">
        <f t="shared" si="33"/>
        <v>0011</v>
      </c>
      <c r="I48" t="str">
        <f t="shared" si="33"/>
        <v>1001</v>
      </c>
      <c r="J48" t="str">
        <f t="shared" si="33"/>
        <v>0100</v>
      </c>
      <c r="K48" s="9" t="s">
        <v>26</v>
      </c>
      <c r="L48" t="str">
        <f t="shared" ref="L48:S48" si="34">MID($L29,L$45,4)</f>
        <v>0100</v>
      </c>
      <c r="M48" t="str">
        <f t="shared" si="34"/>
        <v>1010</v>
      </c>
      <c r="N48" t="str">
        <f t="shared" si="34"/>
        <v>0001</v>
      </c>
      <c r="O48" t="str">
        <f t="shared" si="34"/>
        <v>0010</v>
      </c>
      <c r="P48" t="str">
        <f t="shared" si="34"/>
        <v>0001</v>
      </c>
      <c r="Q48" t="str">
        <f t="shared" si="34"/>
        <v>0000</v>
      </c>
      <c r="R48" t="str">
        <f t="shared" si="34"/>
        <v>1111</v>
      </c>
      <c r="S48" t="str">
        <f t="shared" si="34"/>
        <v>0110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2:86">
      <c r="B49" s="9" t="s">
        <v>27</v>
      </c>
      <c r="C49" t="str">
        <f t="shared" ref="C49:J49" si="35">MID($C30,C$45,4)</f>
        <v>0100</v>
      </c>
      <c r="D49" t="str">
        <f t="shared" si="35"/>
        <v>1010</v>
      </c>
      <c r="E49" t="str">
        <f t="shared" si="35"/>
        <v>0001</v>
      </c>
      <c r="F49" t="str">
        <f t="shared" si="35"/>
        <v>0010</v>
      </c>
      <c r="G49" t="str">
        <f t="shared" si="35"/>
        <v>0001</v>
      </c>
      <c r="H49" t="str">
        <f t="shared" si="35"/>
        <v>0000</v>
      </c>
      <c r="I49" t="str">
        <f t="shared" si="35"/>
        <v>1111</v>
      </c>
      <c r="J49" t="str">
        <f t="shared" si="35"/>
        <v>0110</v>
      </c>
      <c r="K49" s="9" t="s">
        <v>28</v>
      </c>
      <c r="L49" t="str">
        <f t="shared" ref="L49:S49" si="36">MID($L30,L$45,4)</f>
        <v>1011</v>
      </c>
      <c r="M49" t="str">
        <f t="shared" si="36"/>
        <v>1000</v>
      </c>
      <c r="N49" t="str">
        <f t="shared" si="36"/>
        <v>0000</v>
      </c>
      <c r="O49" t="str">
        <f t="shared" si="36"/>
        <v>1000</v>
      </c>
      <c r="P49" t="str">
        <f t="shared" si="36"/>
        <v>1001</v>
      </c>
      <c r="Q49" t="str">
        <f t="shared" si="36"/>
        <v>0101</v>
      </c>
      <c r="R49" t="str">
        <f t="shared" si="36"/>
        <v>1001</v>
      </c>
      <c r="S49" t="str">
        <f t="shared" si="36"/>
        <v>0001</v>
      </c>
      <c r="U49" t="s">
        <v>55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2:86">
      <c r="B50" s="9" t="s">
        <v>29</v>
      </c>
      <c r="C50" t="str">
        <f t="shared" ref="C50:J50" si="37">MID($C31,C$45,4)</f>
        <v>1011</v>
      </c>
      <c r="D50" t="str">
        <f t="shared" si="37"/>
        <v>1000</v>
      </c>
      <c r="E50" t="str">
        <f t="shared" si="37"/>
        <v>0000</v>
      </c>
      <c r="F50" t="str">
        <f t="shared" si="37"/>
        <v>1000</v>
      </c>
      <c r="G50" t="str">
        <f t="shared" si="37"/>
        <v>1001</v>
      </c>
      <c r="H50" t="str">
        <f t="shared" si="37"/>
        <v>0101</v>
      </c>
      <c r="I50" t="str">
        <f t="shared" si="37"/>
        <v>1001</v>
      </c>
      <c r="J50" t="str">
        <f t="shared" si="37"/>
        <v>0001</v>
      </c>
      <c r="K50" s="9" t="s">
        <v>30</v>
      </c>
      <c r="L50" t="str">
        <f t="shared" ref="L50:S50" si="38">MID($L31,L$45,4)</f>
        <v>0010</v>
      </c>
      <c r="M50" t="str">
        <f t="shared" si="38"/>
        <v>0011</v>
      </c>
      <c r="N50" t="str">
        <f t="shared" si="38"/>
        <v>0110</v>
      </c>
      <c r="O50" t="str">
        <f t="shared" si="38"/>
        <v>0111</v>
      </c>
      <c r="P50" t="str">
        <f t="shared" si="38"/>
        <v>0111</v>
      </c>
      <c r="Q50" t="str">
        <f t="shared" si="38"/>
        <v>1001</v>
      </c>
      <c r="R50" t="str">
        <f t="shared" si="38"/>
        <v>1100</v>
      </c>
      <c r="S50" t="str">
        <f t="shared" si="38"/>
        <v>0010</v>
      </c>
      <c r="U50" t="s">
        <v>56</v>
      </c>
      <c r="V50" s="1">
        <v>1</v>
      </c>
      <c r="W50" s="1">
        <v>2</v>
      </c>
      <c r="X50" s="1">
        <v>3</v>
      </c>
      <c r="Y50" s="1">
        <v>4</v>
      </c>
      <c r="Z50" s="1">
        <v>5</v>
      </c>
      <c r="AA50" s="1">
        <v>6</v>
      </c>
      <c r="AB50" s="1">
        <v>7</v>
      </c>
      <c r="AC50" s="1">
        <v>8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2:86">
      <c r="B51" s="9" t="s">
        <v>31</v>
      </c>
      <c r="C51" t="str">
        <f t="shared" ref="C51:J51" si="39">MID($C32,C$45,4)</f>
        <v>0010</v>
      </c>
      <c r="D51" t="str">
        <f t="shared" si="39"/>
        <v>0011</v>
      </c>
      <c r="E51" t="str">
        <f t="shared" si="39"/>
        <v>0110</v>
      </c>
      <c r="F51" t="str">
        <f t="shared" si="39"/>
        <v>0111</v>
      </c>
      <c r="G51" t="str">
        <f t="shared" si="39"/>
        <v>0111</v>
      </c>
      <c r="H51" t="str">
        <f t="shared" si="39"/>
        <v>1001</v>
      </c>
      <c r="I51" t="str">
        <f t="shared" si="39"/>
        <v>1100</v>
      </c>
      <c r="J51" t="str">
        <f t="shared" si="39"/>
        <v>0010</v>
      </c>
      <c r="K51" s="9" t="s">
        <v>32</v>
      </c>
      <c r="L51" t="str">
        <f t="shared" ref="L51:S51" si="40">MID($L32,L$45,4)</f>
        <v>1010</v>
      </c>
      <c r="M51" t="str">
        <f t="shared" si="40"/>
        <v>0001</v>
      </c>
      <c r="N51" t="str">
        <f t="shared" si="40"/>
        <v>0101</v>
      </c>
      <c r="O51" t="str">
        <f t="shared" si="40"/>
        <v>1010</v>
      </c>
      <c r="P51" t="str">
        <f t="shared" si="40"/>
        <v>0100</v>
      </c>
      <c r="Q51" t="str">
        <f t="shared" si="40"/>
        <v>1011</v>
      </c>
      <c r="R51" t="str">
        <f t="shared" si="40"/>
        <v>1000</v>
      </c>
      <c r="S51" t="str">
        <f t="shared" si="40"/>
        <v>0111</v>
      </c>
      <c r="U51">
        <v>1</v>
      </c>
      <c r="V51" s="1" t="str">
        <f t="shared" ref="V51:AC58" si="41">MID($X$47,VLOOKUP($U51,INV_IP,V$50+1,FALSE),1)</f>
        <v>1</v>
      </c>
      <c r="W51" s="1" t="str">
        <f t="shared" si="41"/>
        <v>1</v>
      </c>
      <c r="X51" s="1" t="str">
        <f t="shared" si="41"/>
        <v>0</v>
      </c>
      <c r="Y51" s="1" t="str">
        <f t="shared" si="41"/>
        <v>0</v>
      </c>
      <c r="Z51" s="1" t="str">
        <f t="shared" si="41"/>
        <v>0</v>
      </c>
      <c r="AA51" s="1" t="str">
        <f t="shared" si="41"/>
        <v>0</v>
      </c>
      <c r="AB51" s="1" t="str">
        <f t="shared" si="41"/>
        <v>0</v>
      </c>
      <c r="AC51" s="1" t="str">
        <f t="shared" si="41"/>
        <v>0</v>
      </c>
      <c r="AD51" s="1" t="str">
        <f>CONCATENATE(V51,W51,X51,Y51)</f>
        <v>1100</v>
      </c>
      <c r="AE51" s="1" t="str">
        <f>CONCATENATE(Z51,AA51,AB51,AC51)</f>
        <v>0000</v>
      </c>
      <c r="AF51" s="1" t="str">
        <f>BIN2HEX(AD51)</f>
        <v>C</v>
      </c>
      <c r="AG51" s="1" t="str">
        <f>BIN2HEX(AE51)</f>
        <v>0</v>
      </c>
      <c r="AH51" s="1" t="str">
        <f>CONCATENATE(AF51,AG51)</f>
        <v>C0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2:86">
      <c r="B52" s="9" t="s">
        <v>33</v>
      </c>
      <c r="C52" t="str">
        <f t="shared" ref="C52:J52" si="42">MID($C33,C$45,4)</f>
        <v>1010</v>
      </c>
      <c r="D52" t="str">
        <f t="shared" si="42"/>
        <v>0001</v>
      </c>
      <c r="E52" t="str">
        <f t="shared" si="42"/>
        <v>0101</v>
      </c>
      <c r="F52" t="str">
        <f t="shared" si="42"/>
        <v>1010</v>
      </c>
      <c r="G52" t="str">
        <f t="shared" si="42"/>
        <v>0100</v>
      </c>
      <c r="H52" t="str">
        <f t="shared" si="42"/>
        <v>1011</v>
      </c>
      <c r="I52" t="str">
        <f t="shared" si="42"/>
        <v>1000</v>
      </c>
      <c r="J52" t="str">
        <f t="shared" si="42"/>
        <v>0111</v>
      </c>
      <c r="K52" s="9" t="s">
        <v>34</v>
      </c>
      <c r="L52" t="str">
        <f t="shared" ref="L52:S52" si="43">MID($L33,L$45,4)</f>
        <v>0010</v>
      </c>
      <c r="M52" t="str">
        <f t="shared" si="43"/>
        <v>1110</v>
      </c>
      <c r="N52" t="str">
        <f t="shared" si="43"/>
        <v>1000</v>
      </c>
      <c r="O52" t="str">
        <f t="shared" si="43"/>
        <v>1111</v>
      </c>
      <c r="P52" t="str">
        <f t="shared" si="43"/>
        <v>1001</v>
      </c>
      <c r="Q52" t="str">
        <f t="shared" si="43"/>
        <v>1100</v>
      </c>
      <c r="R52" t="str">
        <f t="shared" si="43"/>
        <v>0110</v>
      </c>
      <c r="S52" t="str">
        <f t="shared" si="43"/>
        <v>0101</v>
      </c>
      <c r="U52">
        <v>2</v>
      </c>
      <c r="V52" s="1" t="str">
        <f t="shared" si="41"/>
        <v>1</v>
      </c>
      <c r="W52" s="1" t="str">
        <f t="shared" si="41"/>
        <v>0</v>
      </c>
      <c r="X52" s="1" t="str">
        <f t="shared" si="41"/>
        <v>1</v>
      </c>
      <c r="Y52" s="1" t="str">
        <f t="shared" si="41"/>
        <v>1</v>
      </c>
      <c r="Z52" s="1" t="str">
        <f t="shared" si="41"/>
        <v>0</v>
      </c>
      <c r="AA52" s="1" t="str">
        <f t="shared" si="41"/>
        <v>1</v>
      </c>
      <c r="AB52" s="1" t="str">
        <f t="shared" si="41"/>
        <v>1</v>
      </c>
      <c r="AC52" s="1" t="str">
        <f t="shared" si="41"/>
        <v>1</v>
      </c>
      <c r="AD52" s="1" t="str">
        <f t="shared" ref="AD52:AD58" si="44">CONCATENATE(V52,W52,X52,Y52)</f>
        <v>1011</v>
      </c>
      <c r="AE52" s="1" t="str">
        <f t="shared" ref="AE52:AE58" si="45">CONCATENATE(Z52,AA52,AB52,AC52)</f>
        <v>0111</v>
      </c>
      <c r="AF52" s="1" t="str">
        <f t="shared" ref="AF52:AF58" si="46">BIN2HEX(AD52)</f>
        <v>B</v>
      </c>
      <c r="AG52" s="1" t="str">
        <f t="shared" ref="AG52:AG58" si="47">BIN2HEX(AE52)</f>
        <v>7</v>
      </c>
      <c r="AH52" s="1" t="str">
        <f t="shared" ref="AH52:AH58" si="48">CONCATENATE(AF52,AG52)</f>
        <v>B7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2:86">
      <c r="B53" s="9" t="s">
        <v>35</v>
      </c>
      <c r="C53" t="str">
        <f t="shared" ref="C53:J53" si="49">MID($C34,C$45,4)</f>
        <v>0010</v>
      </c>
      <c r="D53" t="str">
        <f t="shared" si="49"/>
        <v>1110</v>
      </c>
      <c r="E53" t="str">
        <f t="shared" si="49"/>
        <v>1000</v>
      </c>
      <c r="F53" t="str">
        <f t="shared" si="49"/>
        <v>1111</v>
      </c>
      <c r="G53" t="str">
        <f t="shared" si="49"/>
        <v>1001</v>
      </c>
      <c r="H53" t="str">
        <f t="shared" si="49"/>
        <v>1100</v>
      </c>
      <c r="I53" t="str">
        <f t="shared" si="49"/>
        <v>0110</v>
      </c>
      <c r="J53" t="str">
        <f t="shared" si="49"/>
        <v>0101</v>
      </c>
      <c r="K53" s="9" t="s">
        <v>36</v>
      </c>
      <c r="L53" t="str">
        <f t="shared" ref="L53:S53" si="50">MID($L34,L$45,4)</f>
        <v>1010</v>
      </c>
      <c r="M53" t="str">
        <f t="shared" si="50"/>
        <v>1001</v>
      </c>
      <c r="N53" t="str">
        <f t="shared" si="50"/>
        <v>1111</v>
      </c>
      <c r="O53" t="str">
        <f t="shared" si="50"/>
        <v>1100</v>
      </c>
      <c r="P53" t="str">
        <f t="shared" si="50"/>
        <v>0010</v>
      </c>
      <c r="Q53" t="str">
        <f t="shared" si="50"/>
        <v>0000</v>
      </c>
      <c r="R53" t="str">
        <f t="shared" si="50"/>
        <v>1010</v>
      </c>
      <c r="S53" t="str">
        <f t="shared" si="50"/>
        <v>0011</v>
      </c>
      <c r="U53">
        <v>3</v>
      </c>
      <c r="V53" s="1" t="str">
        <f t="shared" si="41"/>
        <v>1</v>
      </c>
      <c r="W53" s="1" t="str">
        <f t="shared" si="41"/>
        <v>0</v>
      </c>
      <c r="X53" s="1" t="str">
        <f t="shared" si="41"/>
        <v>1</v>
      </c>
      <c r="Y53" s="1" t="str">
        <f t="shared" si="41"/>
        <v>0</v>
      </c>
      <c r="Z53" s="1" t="str">
        <f t="shared" si="41"/>
        <v>1</v>
      </c>
      <c r="AA53" s="1" t="str">
        <f t="shared" si="41"/>
        <v>0</v>
      </c>
      <c r="AB53" s="1" t="str">
        <f t="shared" si="41"/>
        <v>0</v>
      </c>
      <c r="AC53" s="1" t="str">
        <f t="shared" si="41"/>
        <v>0</v>
      </c>
      <c r="AD53" s="1" t="str">
        <f t="shared" si="44"/>
        <v>1010</v>
      </c>
      <c r="AE53" s="1" t="str">
        <f t="shared" si="45"/>
        <v>1000</v>
      </c>
      <c r="AF53" s="1" t="str">
        <f t="shared" si="46"/>
        <v>A</v>
      </c>
      <c r="AG53" s="1" t="str">
        <f t="shared" si="47"/>
        <v>8</v>
      </c>
      <c r="AH53" s="1" t="str">
        <f t="shared" si="48"/>
        <v>A8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2:86">
      <c r="B54" s="9" t="s">
        <v>37</v>
      </c>
      <c r="C54" t="str">
        <f t="shared" ref="C54:J54" si="51">MID($C35,C$45,4)</f>
        <v>1010</v>
      </c>
      <c r="D54" t="str">
        <f t="shared" si="51"/>
        <v>1001</v>
      </c>
      <c r="E54" t="str">
        <f t="shared" si="51"/>
        <v>1111</v>
      </c>
      <c r="F54" t="str">
        <f t="shared" si="51"/>
        <v>1100</v>
      </c>
      <c r="G54" t="str">
        <f t="shared" si="51"/>
        <v>0010</v>
      </c>
      <c r="H54" t="str">
        <f t="shared" si="51"/>
        <v>0000</v>
      </c>
      <c r="I54" t="str">
        <f t="shared" si="51"/>
        <v>1010</v>
      </c>
      <c r="J54" t="str">
        <f t="shared" si="51"/>
        <v>0011</v>
      </c>
      <c r="K54" s="9" t="s">
        <v>38</v>
      </c>
      <c r="L54" t="str">
        <f t="shared" ref="L54:S54" si="52">MID($L35,L$45,4)</f>
        <v>0011</v>
      </c>
      <c r="M54" t="str">
        <f t="shared" si="52"/>
        <v>0000</v>
      </c>
      <c r="N54" t="str">
        <f t="shared" si="52"/>
        <v>1000</v>
      </c>
      <c r="O54" t="str">
        <f t="shared" si="52"/>
        <v>1011</v>
      </c>
      <c r="P54" t="str">
        <f t="shared" si="52"/>
        <v>1110</v>
      </c>
      <c r="Q54" t="str">
        <f t="shared" si="52"/>
        <v>1110</v>
      </c>
      <c r="R54" t="str">
        <f t="shared" si="52"/>
        <v>1001</v>
      </c>
      <c r="S54" t="str">
        <f t="shared" si="52"/>
        <v>0111</v>
      </c>
      <c r="U54">
        <v>4</v>
      </c>
      <c r="V54" s="1" t="str">
        <f t="shared" si="41"/>
        <v>1</v>
      </c>
      <c r="W54" s="1" t="str">
        <f t="shared" si="41"/>
        <v>1</v>
      </c>
      <c r="X54" s="1" t="str">
        <f t="shared" si="41"/>
        <v>0</v>
      </c>
      <c r="Y54" s="1" t="str">
        <f t="shared" si="41"/>
        <v>1</v>
      </c>
      <c r="Z54" s="1" t="str">
        <f t="shared" si="41"/>
        <v>0</v>
      </c>
      <c r="AA54" s="1" t="str">
        <f t="shared" si="41"/>
        <v>0</v>
      </c>
      <c r="AB54" s="1" t="str">
        <f t="shared" si="41"/>
        <v>0</v>
      </c>
      <c r="AC54" s="1" t="str">
        <f t="shared" si="41"/>
        <v>0</v>
      </c>
      <c r="AD54" s="1" t="str">
        <f t="shared" si="44"/>
        <v>1101</v>
      </c>
      <c r="AE54" s="1" t="str">
        <f t="shared" si="45"/>
        <v>0000</v>
      </c>
      <c r="AF54" s="1" t="str">
        <f t="shared" si="46"/>
        <v>D</v>
      </c>
      <c r="AG54" s="1" t="str">
        <f t="shared" si="47"/>
        <v>0</v>
      </c>
      <c r="AH54" s="1" t="str">
        <f t="shared" si="48"/>
        <v>D0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2:86">
      <c r="B55" s="9" t="s">
        <v>39</v>
      </c>
      <c r="C55" t="str">
        <f t="shared" ref="C55:J55" si="53">MID($C36,C$45,4)</f>
        <v>0011</v>
      </c>
      <c r="D55" t="str">
        <f t="shared" si="53"/>
        <v>0000</v>
      </c>
      <c r="E55" t="str">
        <f t="shared" si="53"/>
        <v>1000</v>
      </c>
      <c r="F55" t="str">
        <f t="shared" si="53"/>
        <v>1011</v>
      </c>
      <c r="G55" t="str">
        <f t="shared" si="53"/>
        <v>1110</v>
      </c>
      <c r="H55" t="str">
        <f t="shared" si="53"/>
        <v>1110</v>
      </c>
      <c r="I55" t="str">
        <f t="shared" si="53"/>
        <v>1001</v>
      </c>
      <c r="J55" t="str">
        <f t="shared" si="53"/>
        <v>0111</v>
      </c>
      <c r="K55" s="9" t="s">
        <v>40</v>
      </c>
      <c r="L55" t="str">
        <f t="shared" ref="L55:S55" si="54">MID($L36,L$45,4)</f>
        <v>0001</v>
      </c>
      <c r="M55" t="str">
        <f t="shared" si="54"/>
        <v>0000</v>
      </c>
      <c r="N55" t="str">
        <f t="shared" si="54"/>
        <v>1010</v>
      </c>
      <c r="O55" t="str">
        <f t="shared" si="54"/>
        <v>1111</v>
      </c>
      <c r="P55" t="str">
        <f t="shared" si="54"/>
        <v>1001</v>
      </c>
      <c r="Q55" t="str">
        <f t="shared" si="54"/>
        <v>1101</v>
      </c>
      <c r="R55" t="str">
        <f t="shared" si="54"/>
        <v>0011</v>
      </c>
      <c r="S55" t="str">
        <f t="shared" si="54"/>
        <v>0111</v>
      </c>
      <c r="U55">
        <v>5</v>
      </c>
      <c r="V55" s="1" t="str">
        <f t="shared" si="41"/>
        <v>0</v>
      </c>
      <c r="W55" s="1" t="str">
        <f t="shared" si="41"/>
        <v>1</v>
      </c>
      <c r="X55" s="1" t="str">
        <f t="shared" si="41"/>
        <v>0</v>
      </c>
      <c r="Y55" s="1" t="str">
        <f t="shared" si="41"/>
        <v>1</v>
      </c>
      <c r="Z55" s="1" t="str">
        <f t="shared" si="41"/>
        <v>1</v>
      </c>
      <c r="AA55" s="1" t="str">
        <f t="shared" si="41"/>
        <v>1</v>
      </c>
      <c r="AB55" s="1" t="str">
        <f t="shared" si="41"/>
        <v>1</v>
      </c>
      <c r="AC55" s="1" t="str">
        <f t="shared" si="41"/>
        <v>1</v>
      </c>
      <c r="AD55" s="1" t="str">
        <f t="shared" si="44"/>
        <v>0101</v>
      </c>
      <c r="AE55" s="1" t="str">
        <f t="shared" si="45"/>
        <v>1111</v>
      </c>
      <c r="AF55" s="1" t="str">
        <f t="shared" si="46"/>
        <v>5</v>
      </c>
      <c r="AG55" s="1" t="str">
        <f t="shared" si="47"/>
        <v>F</v>
      </c>
      <c r="AH55" s="1" t="str">
        <f t="shared" si="48"/>
        <v>5F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2:86">
      <c r="B56" s="9" t="s">
        <v>41</v>
      </c>
      <c r="C56" t="str">
        <f t="shared" ref="C56:J56" si="55">MID($C37,C$45,4)</f>
        <v>0001</v>
      </c>
      <c r="D56" t="str">
        <f t="shared" si="55"/>
        <v>0000</v>
      </c>
      <c r="E56" t="str">
        <f t="shared" si="55"/>
        <v>1010</v>
      </c>
      <c r="F56" t="str">
        <f t="shared" si="55"/>
        <v>1111</v>
      </c>
      <c r="G56" t="str">
        <f t="shared" si="55"/>
        <v>1001</v>
      </c>
      <c r="H56" t="str">
        <f t="shared" si="55"/>
        <v>1101</v>
      </c>
      <c r="I56" t="str">
        <f t="shared" si="55"/>
        <v>0011</v>
      </c>
      <c r="J56" t="str">
        <f t="shared" si="55"/>
        <v>0111</v>
      </c>
      <c r="K56" s="9" t="s">
        <v>42</v>
      </c>
      <c r="L56" t="str">
        <f t="shared" ref="L56:S56" si="56">MID($L37,L$45,4)</f>
        <v>0110</v>
      </c>
      <c r="M56" t="str">
        <f t="shared" si="56"/>
        <v>1100</v>
      </c>
      <c r="N56" t="str">
        <f t="shared" si="56"/>
        <v>1010</v>
      </c>
      <c r="O56" t="str">
        <f t="shared" si="56"/>
        <v>0110</v>
      </c>
      <c r="P56" t="str">
        <f t="shared" si="56"/>
        <v>1100</v>
      </c>
      <c r="Q56" t="str">
        <f t="shared" si="56"/>
        <v>1011</v>
      </c>
      <c r="R56" t="str">
        <f t="shared" si="56"/>
        <v>0010</v>
      </c>
      <c r="S56" t="str">
        <f t="shared" si="56"/>
        <v>0000</v>
      </c>
      <c r="U56">
        <v>6</v>
      </c>
      <c r="V56" s="1" t="str">
        <f t="shared" si="41"/>
        <v>0</v>
      </c>
      <c r="W56" s="1" t="str">
        <f t="shared" si="41"/>
        <v>0</v>
      </c>
      <c r="X56" s="1" t="str">
        <f t="shared" si="41"/>
        <v>1</v>
      </c>
      <c r="Y56" s="1" t="str">
        <f t="shared" si="41"/>
        <v>1</v>
      </c>
      <c r="Z56" s="1" t="str">
        <f t="shared" si="41"/>
        <v>1</v>
      </c>
      <c r="AA56" s="1" t="str">
        <f t="shared" si="41"/>
        <v>0</v>
      </c>
      <c r="AB56" s="1" t="str">
        <f t="shared" si="41"/>
        <v>1</v>
      </c>
      <c r="AC56" s="1" t="str">
        <f t="shared" si="41"/>
        <v>0</v>
      </c>
      <c r="AD56" s="1" t="str">
        <f t="shared" si="44"/>
        <v>0011</v>
      </c>
      <c r="AE56" s="1" t="str">
        <f t="shared" si="45"/>
        <v>1010</v>
      </c>
      <c r="AF56" s="1" t="str">
        <f t="shared" si="46"/>
        <v>3</v>
      </c>
      <c r="AG56" s="1" t="str">
        <f t="shared" si="47"/>
        <v>A</v>
      </c>
      <c r="AH56" s="1" t="str">
        <f t="shared" si="48"/>
        <v>3A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2:86">
      <c r="B57" s="9" t="s">
        <v>43</v>
      </c>
      <c r="C57" t="str">
        <f t="shared" ref="C57:J57" si="57">MID($C38,C$45,4)</f>
        <v>0110</v>
      </c>
      <c r="D57" t="str">
        <f t="shared" si="57"/>
        <v>1100</v>
      </c>
      <c r="E57" t="str">
        <f t="shared" si="57"/>
        <v>1010</v>
      </c>
      <c r="F57" t="str">
        <f t="shared" si="57"/>
        <v>0110</v>
      </c>
      <c r="G57" t="str">
        <f t="shared" si="57"/>
        <v>1100</v>
      </c>
      <c r="H57" t="str">
        <f t="shared" si="57"/>
        <v>1011</v>
      </c>
      <c r="I57" t="str">
        <f t="shared" si="57"/>
        <v>0010</v>
      </c>
      <c r="J57" t="str">
        <f t="shared" si="57"/>
        <v>0000</v>
      </c>
      <c r="K57" s="9" t="s">
        <v>44</v>
      </c>
      <c r="L57" t="str">
        <f t="shared" ref="L57:S57" si="58">MID($L38,L$45,4)</f>
        <v>1111</v>
      </c>
      <c r="M57" t="str">
        <f t="shared" si="58"/>
        <v>1111</v>
      </c>
      <c r="N57" t="str">
        <f t="shared" si="58"/>
        <v>0011</v>
      </c>
      <c r="O57" t="str">
        <f t="shared" si="58"/>
        <v>1100</v>
      </c>
      <c r="P57" t="str">
        <f t="shared" si="58"/>
        <v>0100</v>
      </c>
      <c r="Q57" t="str">
        <f t="shared" si="58"/>
        <v>1000</v>
      </c>
      <c r="R57" t="str">
        <f t="shared" si="58"/>
        <v>0101</v>
      </c>
      <c r="S57" t="str">
        <f t="shared" si="58"/>
        <v>1111</v>
      </c>
      <c r="U57">
        <v>7</v>
      </c>
      <c r="V57" s="1" t="str">
        <f t="shared" si="41"/>
        <v>1</v>
      </c>
      <c r="W57" s="1" t="str">
        <f t="shared" si="41"/>
        <v>0</v>
      </c>
      <c r="X57" s="1" t="str">
        <f t="shared" si="41"/>
        <v>0</v>
      </c>
      <c r="Y57" s="1" t="str">
        <f t="shared" si="41"/>
        <v>0</v>
      </c>
      <c r="Z57" s="1" t="str">
        <f t="shared" si="41"/>
        <v>0</v>
      </c>
      <c r="AA57" s="1" t="str">
        <f t="shared" si="41"/>
        <v>0</v>
      </c>
      <c r="AB57" s="1" t="str">
        <f t="shared" si="41"/>
        <v>1</v>
      </c>
      <c r="AC57" s="1" t="str">
        <f t="shared" si="41"/>
        <v>0</v>
      </c>
      <c r="AD57" s="1" t="str">
        <f t="shared" si="44"/>
        <v>1000</v>
      </c>
      <c r="AE57" s="1" t="str">
        <f t="shared" si="45"/>
        <v>0010</v>
      </c>
      <c r="AF57" s="1" t="str">
        <f t="shared" si="46"/>
        <v>8</v>
      </c>
      <c r="AG57" s="1" t="str">
        <f t="shared" si="47"/>
        <v>2</v>
      </c>
      <c r="AH57" s="1" t="str">
        <f t="shared" si="48"/>
        <v>82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  <row r="58" spans="2:86">
      <c r="B58" s="9" t="s">
        <v>45</v>
      </c>
      <c r="C58" t="str">
        <f t="shared" ref="C58:J58" si="59">MID($C39,C$45,4)</f>
        <v>1111</v>
      </c>
      <c r="D58" t="str">
        <f t="shared" si="59"/>
        <v>1111</v>
      </c>
      <c r="E58" t="str">
        <f t="shared" si="59"/>
        <v>0011</v>
      </c>
      <c r="F58" t="str">
        <f t="shared" si="59"/>
        <v>1100</v>
      </c>
      <c r="G58" t="str">
        <f t="shared" si="59"/>
        <v>0100</v>
      </c>
      <c r="H58" t="str">
        <f t="shared" si="59"/>
        <v>1000</v>
      </c>
      <c r="I58" t="str">
        <f t="shared" si="59"/>
        <v>0101</v>
      </c>
      <c r="J58" t="str">
        <f t="shared" si="59"/>
        <v>1111</v>
      </c>
      <c r="K58" s="9" t="s">
        <v>46</v>
      </c>
      <c r="L58" t="str">
        <f t="shared" ref="L58:S58" si="60">MID($L39,L$45,4)</f>
        <v>0010</v>
      </c>
      <c r="M58" t="str">
        <f t="shared" si="60"/>
        <v>0010</v>
      </c>
      <c r="N58" t="str">
        <f t="shared" si="60"/>
        <v>1010</v>
      </c>
      <c r="O58" t="str">
        <f t="shared" si="60"/>
        <v>0101</v>
      </c>
      <c r="P58" t="str">
        <f t="shared" si="60"/>
        <v>1001</v>
      </c>
      <c r="Q58" t="str">
        <f t="shared" si="60"/>
        <v>0110</v>
      </c>
      <c r="R58" t="str">
        <f t="shared" si="60"/>
        <v>0011</v>
      </c>
      <c r="S58" t="str">
        <f t="shared" si="60"/>
        <v>1011</v>
      </c>
      <c r="U58">
        <v>8</v>
      </c>
      <c r="V58" s="1" t="str">
        <f t="shared" si="41"/>
        <v>1</v>
      </c>
      <c r="W58" s="1" t="str">
        <f t="shared" si="41"/>
        <v>0</v>
      </c>
      <c r="X58" s="1" t="str">
        <f t="shared" si="41"/>
        <v>0</v>
      </c>
      <c r="Y58" s="1" t="str">
        <f t="shared" si="41"/>
        <v>1</v>
      </c>
      <c r="Z58" s="1" t="str">
        <f t="shared" si="41"/>
        <v>1</v>
      </c>
      <c r="AA58" s="1" t="str">
        <f t="shared" si="41"/>
        <v>1</v>
      </c>
      <c r="AB58" s="1" t="str">
        <f t="shared" si="41"/>
        <v>0</v>
      </c>
      <c r="AC58" s="1" t="str">
        <f t="shared" si="41"/>
        <v>0</v>
      </c>
      <c r="AD58" s="1" t="str">
        <f t="shared" si="44"/>
        <v>1001</v>
      </c>
      <c r="AE58" s="1" t="str">
        <f t="shared" si="45"/>
        <v>1100</v>
      </c>
      <c r="AF58" s="1" t="str">
        <f t="shared" si="46"/>
        <v>9</v>
      </c>
      <c r="AG58" s="1" t="str">
        <f t="shared" si="47"/>
        <v>C</v>
      </c>
      <c r="AH58" s="1" t="str">
        <f t="shared" si="48"/>
        <v>9C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</row>
    <row r="59" spans="2:86">
      <c r="B59" s="9" t="s">
        <v>47</v>
      </c>
      <c r="C59" t="str">
        <f t="shared" ref="C59:J59" si="61">MID($C40,C$45,4)</f>
        <v>0010</v>
      </c>
      <c r="D59" t="str">
        <f t="shared" si="61"/>
        <v>0010</v>
      </c>
      <c r="E59" t="str">
        <f t="shared" si="61"/>
        <v>1010</v>
      </c>
      <c r="F59" t="str">
        <f t="shared" si="61"/>
        <v>0101</v>
      </c>
      <c r="G59" t="str">
        <f t="shared" si="61"/>
        <v>1001</v>
      </c>
      <c r="H59" t="str">
        <f t="shared" si="61"/>
        <v>0110</v>
      </c>
      <c r="I59" t="str">
        <f t="shared" si="61"/>
        <v>0011</v>
      </c>
      <c r="J59" t="str">
        <f t="shared" si="61"/>
        <v>1011</v>
      </c>
      <c r="K59" s="9" t="s">
        <v>48</v>
      </c>
      <c r="L59" t="str">
        <f t="shared" ref="L59:S59" si="62">MID($L40,L$45,4)</f>
        <v>0011</v>
      </c>
      <c r="M59" t="str">
        <f t="shared" si="62"/>
        <v>1000</v>
      </c>
      <c r="N59" t="str">
        <f t="shared" si="62"/>
        <v>0111</v>
      </c>
      <c r="O59" t="str">
        <f t="shared" si="62"/>
        <v>1100</v>
      </c>
      <c r="P59" t="str">
        <f t="shared" si="62"/>
        <v>1100</v>
      </c>
      <c r="Q59" t="str">
        <f t="shared" si="62"/>
        <v>1101</v>
      </c>
      <c r="R59" t="str">
        <f t="shared" si="62"/>
        <v>1010</v>
      </c>
      <c r="S59" t="str">
        <f t="shared" si="62"/>
        <v>1010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 spans="2:86">
      <c r="B60" s="9" t="s">
        <v>49</v>
      </c>
      <c r="C60" t="str">
        <f t="shared" ref="C60:J60" si="63">MID($C41,C$45,4)</f>
        <v>0011</v>
      </c>
      <c r="D60" t="str">
        <f t="shared" si="63"/>
        <v>1000</v>
      </c>
      <c r="E60" t="str">
        <f t="shared" si="63"/>
        <v>0111</v>
      </c>
      <c r="F60" t="str">
        <f t="shared" si="63"/>
        <v>1100</v>
      </c>
      <c r="G60" t="str">
        <f t="shared" si="63"/>
        <v>1100</v>
      </c>
      <c r="H60" t="str">
        <f t="shared" si="63"/>
        <v>1101</v>
      </c>
      <c r="I60" t="str">
        <f t="shared" si="63"/>
        <v>1010</v>
      </c>
      <c r="J60" t="str">
        <f t="shared" si="63"/>
        <v>1010</v>
      </c>
      <c r="K60" s="9" t="s">
        <v>50</v>
      </c>
      <c r="L60" t="str">
        <f t="shared" ref="L60:S60" si="64">MID($L41,L$45,4)</f>
        <v>1011</v>
      </c>
      <c r="M60" t="str">
        <f t="shared" si="64"/>
        <v>1101</v>
      </c>
      <c r="N60" t="str">
        <f t="shared" si="64"/>
        <v>0010</v>
      </c>
      <c r="O60" t="str">
        <f t="shared" si="64"/>
        <v>1101</v>
      </c>
      <c r="P60" t="str">
        <f t="shared" si="64"/>
        <v>1101</v>
      </c>
      <c r="Q60" t="str">
        <f t="shared" si="64"/>
        <v>0010</v>
      </c>
      <c r="R60" t="str">
        <f t="shared" si="64"/>
        <v>1010</v>
      </c>
      <c r="S60" t="str">
        <f t="shared" si="64"/>
        <v>1011</v>
      </c>
      <c r="U60" t="s">
        <v>57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 spans="2:86">
      <c r="B61" s="9" t="s">
        <v>51</v>
      </c>
      <c r="C61" t="str">
        <f t="shared" ref="C61:J61" si="65">MID($C42,C$45,4)</f>
        <v>1011</v>
      </c>
      <c r="D61" t="str">
        <f t="shared" si="65"/>
        <v>1101</v>
      </c>
      <c r="E61" t="str">
        <f t="shared" si="65"/>
        <v>0010</v>
      </c>
      <c r="F61" t="str">
        <f t="shared" si="65"/>
        <v>1101</v>
      </c>
      <c r="G61" t="str">
        <f t="shared" si="65"/>
        <v>1101</v>
      </c>
      <c r="H61" t="str">
        <f t="shared" si="65"/>
        <v>0010</v>
      </c>
      <c r="I61" t="str">
        <f t="shared" si="65"/>
        <v>1010</v>
      </c>
      <c r="J61" t="str">
        <f t="shared" si="65"/>
        <v>1011</v>
      </c>
      <c r="K61" s="9" t="s">
        <v>52</v>
      </c>
      <c r="L61" t="str">
        <f t="shared" ref="L61:S61" si="66">MID($L42,L$45,4)</f>
        <v>1100</v>
      </c>
      <c r="M61" t="str">
        <f t="shared" si="66"/>
        <v>1111</v>
      </c>
      <c r="N61" t="str">
        <f t="shared" si="66"/>
        <v>0010</v>
      </c>
      <c r="O61" t="str">
        <f t="shared" si="66"/>
        <v>0110</v>
      </c>
      <c r="P61" t="str">
        <f t="shared" si="66"/>
        <v>1011</v>
      </c>
      <c r="Q61" t="str">
        <f t="shared" si="66"/>
        <v>0100</v>
      </c>
      <c r="R61" t="str">
        <f t="shared" si="66"/>
        <v>0111</v>
      </c>
      <c r="S61" t="str">
        <f t="shared" si="66"/>
        <v>0010</v>
      </c>
      <c r="W61" s="1"/>
      <c r="X61" s="1"/>
      <c r="Y61" s="1"/>
      <c r="Z61" s="16" t="s">
        <v>58</v>
      </c>
      <c r="AA61" s="16" t="s">
        <v>13</v>
      </c>
      <c r="AB61" s="17" t="str">
        <f>CONCATENATE(AH51,AH52,AH53,AH54,AH55,AH56,AH57,AH58)</f>
        <v>C0B7A8D05F3A829C</v>
      </c>
      <c r="AC61" s="16"/>
      <c r="AD61" s="16"/>
      <c r="AE61" s="16"/>
      <c r="AF61" s="16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 spans="2:86">
      <c r="B62" s="9" t="s">
        <v>53</v>
      </c>
      <c r="C62" t="str">
        <f t="shared" ref="C62:J62" si="67">MID($C43,C$45,4)</f>
        <v>1100</v>
      </c>
      <c r="D62" t="str">
        <f t="shared" si="67"/>
        <v>1111</v>
      </c>
      <c r="E62" t="str">
        <f t="shared" si="67"/>
        <v>0010</v>
      </c>
      <c r="F62" t="str">
        <f t="shared" si="67"/>
        <v>0110</v>
      </c>
      <c r="G62" t="str">
        <f t="shared" si="67"/>
        <v>1011</v>
      </c>
      <c r="H62" t="str">
        <f t="shared" si="67"/>
        <v>0100</v>
      </c>
      <c r="I62" t="str">
        <f t="shared" si="67"/>
        <v>0111</v>
      </c>
      <c r="J62" t="str">
        <f t="shared" si="67"/>
        <v>0010</v>
      </c>
      <c r="K62" s="9" t="s">
        <v>54</v>
      </c>
      <c r="L62" t="str">
        <f t="shared" ref="L62:S62" si="68">MID($L43,L$45,4)</f>
        <v>0001</v>
      </c>
      <c r="M62" t="str">
        <f t="shared" si="68"/>
        <v>1001</v>
      </c>
      <c r="N62" t="str">
        <f t="shared" si="68"/>
        <v>1011</v>
      </c>
      <c r="O62" t="str">
        <f t="shared" si="68"/>
        <v>1010</v>
      </c>
      <c r="P62" t="str">
        <f t="shared" si="68"/>
        <v>1001</v>
      </c>
      <c r="Q62" t="str">
        <f t="shared" si="68"/>
        <v>0010</v>
      </c>
      <c r="R62" t="str">
        <f t="shared" si="68"/>
        <v>0001</v>
      </c>
      <c r="S62" t="str">
        <f t="shared" si="68"/>
        <v>0010</v>
      </c>
      <c r="W62" s="1"/>
      <c r="X62" s="1"/>
      <c r="Y62" s="1"/>
      <c r="Z62" s="16" t="s">
        <v>58</v>
      </c>
      <c r="AA62" s="16" t="s">
        <v>13</v>
      </c>
      <c r="AB62" s="17" t="str">
        <f>CONCATENATE(AD51,AE51,AD52,AE52,AD53,AE53,AD54,AE54,AD55,AE55,AD56,AE56,AD57,AE57,AD58,AE58)</f>
        <v>1100000010110111101010001101000001011111001110101000001010011100</v>
      </c>
      <c r="AC62" s="16"/>
      <c r="AD62" s="16"/>
      <c r="AE62" s="16"/>
      <c r="AF62" s="16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 spans="2:86"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 spans="2:86">
      <c r="B64" s="9" t="s">
        <v>21</v>
      </c>
      <c r="C64" s="11" t="str">
        <f>BIN2HEX(C46)</f>
        <v>1</v>
      </c>
      <c r="D64" s="11" t="str">
        <f t="shared" ref="D64:J64" si="69">BIN2HEX(D46)</f>
        <v>4</v>
      </c>
      <c r="E64" s="11" t="str">
        <f t="shared" si="69"/>
        <v>A</v>
      </c>
      <c r="F64" s="11" t="str">
        <f t="shared" si="69"/>
        <v>7</v>
      </c>
      <c r="G64" s="11" t="str">
        <f t="shared" si="69"/>
        <v>D</v>
      </c>
      <c r="H64" s="11" t="str">
        <f t="shared" si="69"/>
        <v>6</v>
      </c>
      <c r="I64" s="11" t="str">
        <f t="shared" si="69"/>
        <v>7</v>
      </c>
      <c r="J64" s="11" t="str">
        <f t="shared" si="69"/>
        <v>8</v>
      </c>
      <c r="K64" s="9" t="s">
        <v>22</v>
      </c>
      <c r="L64" s="10" t="str">
        <f>BIN2HEX(L46)</f>
        <v>1</v>
      </c>
      <c r="M64" s="10" t="str">
        <f t="shared" ref="M64:S64" si="70">BIN2HEX(M46)</f>
        <v>8</v>
      </c>
      <c r="N64" s="10" t="str">
        <f t="shared" si="70"/>
        <v>C</v>
      </c>
      <c r="O64" s="10" t="str">
        <f t="shared" si="70"/>
        <v>A</v>
      </c>
      <c r="P64" s="10" t="str">
        <f t="shared" si="70"/>
        <v>1</v>
      </c>
      <c r="Q64" s="10" t="str">
        <f t="shared" si="70"/>
        <v>8</v>
      </c>
      <c r="R64" s="10" t="str">
        <f t="shared" si="70"/>
        <v>A</v>
      </c>
      <c r="S64" s="10" t="str">
        <f t="shared" si="70"/>
        <v>D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 spans="2:86">
      <c r="B65" s="9" t="s">
        <v>23</v>
      </c>
      <c r="C65" s="11" t="str">
        <f t="shared" ref="C65:J65" si="71">BIN2HEX(C47)</f>
        <v>1</v>
      </c>
      <c r="D65" s="11" t="str">
        <f t="shared" si="71"/>
        <v>8</v>
      </c>
      <c r="E65" s="11" t="str">
        <f t="shared" si="71"/>
        <v>C</v>
      </c>
      <c r="F65" s="11" t="str">
        <f t="shared" si="71"/>
        <v>A</v>
      </c>
      <c r="G65" s="11" t="str">
        <f t="shared" si="71"/>
        <v>1</v>
      </c>
      <c r="H65" s="11" t="str">
        <f t="shared" si="71"/>
        <v>8</v>
      </c>
      <c r="I65" s="11" t="str">
        <f t="shared" si="71"/>
        <v>A</v>
      </c>
      <c r="J65" s="11" t="str">
        <f t="shared" si="71"/>
        <v>D</v>
      </c>
      <c r="K65" s="9" t="s">
        <v>24</v>
      </c>
      <c r="L65" s="10" t="str">
        <f t="shared" ref="L65:S65" si="72">BIN2HEX(L47)</f>
        <v>5</v>
      </c>
      <c r="M65" s="10" t="str">
        <f t="shared" si="72"/>
        <v>A</v>
      </c>
      <c r="N65" s="10" t="str">
        <f t="shared" si="72"/>
        <v>7</v>
      </c>
      <c r="O65" s="10" t="str">
        <f t="shared" si="72"/>
        <v>8</v>
      </c>
      <c r="P65" s="10" t="str">
        <f t="shared" si="72"/>
        <v>E</v>
      </c>
      <c r="Q65" s="10" t="str">
        <f t="shared" si="72"/>
        <v>3</v>
      </c>
      <c r="R65" s="10" t="str">
        <f t="shared" si="72"/>
        <v>9</v>
      </c>
      <c r="S65" s="10" t="str">
        <f t="shared" si="72"/>
        <v>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 spans="2:86">
      <c r="B66" s="9" t="s">
        <v>25</v>
      </c>
      <c r="C66" s="11" t="str">
        <f t="shared" ref="C66:J66" si="73">BIN2HEX(C48)</f>
        <v>5</v>
      </c>
      <c r="D66" s="11" t="str">
        <f t="shared" si="73"/>
        <v>A</v>
      </c>
      <c r="E66" s="11" t="str">
        <f t="shared" si="73"/>
        <v>7</v>
      </c>
      <c r="F66" s="11" t="str">
        <f t="shared" si="73"/>
        <v>8</v>
      </c>
      <c r="G66" s="11" t="str">
        <f t="shared" si="73"/>
        <v>E</v>
      </c>
      <c r="H66" s="11" t="str">
        <f t="shared" si="73"/>
        <v>3</v>
      </c>
      <c r="I66" s="11" t="str">
        <f t="shared" si="73"/>
        <v>9</v>
      </c>
      <c r="J66" s="11" t="str">
        <f t="shared" si="73"/>
        <v>4</v>
      </c>
      <c r="K66" s="9" t="s">
        <v>26</v>
      </c>
      <c r="L66" s="10" t="str">
        <f t="shared" ref="L66:S66" si="74">BIN2HEX(L48)</f>
        <v>4</v>
      </c>
      <c r="M66" s="10" t="str">
        <f t="shared" si="74"/>
        <v>A</v>
      </c>
      <c r="N66" s="10" t="str">
        <f t="shared" si="74"/>
        <v>1</v>
      </c>
      <c r="O66" s="10" t="str">
        <f t="shared" si="74"/>
        <v>2</v>
      </c>
      <c r="P66" s="10" t="str">
        <f t="shared" si="74"/>
        <v>1</v>
      </c>
      <c r="Q66" s="10" t="str">
        <f t="shared" si="74"/>
        <v>0</v>
      </c>
      <c r="R66" s="10" t="str">
        <f t="shared" si="74"/>
        <v>F</v>
      </c>
      <c r="S66" s="10" t="str">
        <f t="shared" si="74"/>
        <v>6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 spans="2:86">
      <c r="B67" s="9" t="s">
        <v>27</v>
      </c>
      <c r="C67" s="11" t="str">
        <f t="shared" ref="C67:J67" si="75">BIN2HEX(C49)</f>
        <v>4</v>
      </c>
      <c r="D67" s="11" t="str">
        <f t="shared" si="75"/>
        <v>A</v>
      </c>
      <c r="E67" s="11" t="str">
        <f t="shared" si="75"/>
        <v>1</v>
      </c>
      <c r="F67" s="11" t="str">
        <f t="shared" si="75"/>
        <v>2</v>
      </c>
      <c r="G67" s="11" t="str">
        <f t="shared" si="75"/>
        <v>1</v>
      </c>
      <c r="H67" s="11" t="str">
        <f t="shared" si="75"/>
        <v>0</v>
      </c>
      <c r="I67" s="11" t="str">
        <f t="shared" si="75"/>
        <v>F</v>
      </c>
      <c r="J67" s="11" t="str">
        <f t="shared" si="75"/>
        <v>6</v>
      </c>
      <c r="K67" s="9" t="s">
        <v>28</v>
      </c>
      <c r="L67" s="10" t="str">
        <f t="shared" ref="L67:S67" si="76">BIN2HEX(L49)</f>
        <v>B</v>
      </c>
      <c r="M67" s="10" t="str">
        <f t="shared" si="76"/>
        <v>8</v>
      </c>
      <c r="N67" s="10" t="str">
        <f t="shared" si="76"/>
        <v>0</v>
      </c>
      <c r="O67" s="10" t="str">
        <f t="shared" si="76"/>
        <v>8</v>
      </c>
      <c r="P67" s="10" t="str">
        <f t="shared" si="76"/>
        <v>9</v>
      </c>
      <c r="Q67" s="10" t="str">
        <f t="shared" si="76"/>
        <v>5</v>
      </c>
      <c r="R67" s="10" t="str">
        <f t="shared" si="76"/>
        <v>9</v>
      </c>
      <c r="S67" s="10" t="str">
        <f t="shared" si="76"/>
        <v>1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 spans="2:86">
      <c r="B68" s="9" t="s">
        <v>29</v>
      </c>
      <c r="C68" s="11" t="str">
        <f t="shared" ref="C68:J68" si="77">BIN2HEX(C50)</f>
        <v>B</v>
      </c>
      <c r="D68" s="11" t="str">
        <f t="shared" si="77"/>
        <v>8</v>
      </c>
      <c r="E68" s="11" t="str">
        <f t="shared" si="77"/>
        <v>0</v>
      </c>
      <c r="F68" s="11" t="str">
        <f t="shared" si="77"/>
        <v>8</v>
      </c>
      <c r="G68" s="11" t="str">
        <f t="shared" si="77"/>
        <v>9</v>
      </c>
      <c r="H68" s="11" t="str">
        <f t="shared" si="77"/>
        <v>5</v>
      </c>
      <c r="I68" s="11" t="str">
        <f t="shared" si="77"/>
        <v>9</v>
      </c>
      <c r="J68" s="11" t="str">
        <f t="shared" si="77"/>
        <v>1</v>
      </c>
      <c r="K68" s="9" t="s">
        <v>30</v>
      </c>
      <c r="L68" s="10" t="str">
        <f t="shared" ref="L68:S68" si="78">BIN2HEX(L50)</f>
        <v>2</v>
      </c>
      <c r="M68" s="10" t="str">
        <f t="shared" si="78"/>
        <v>3</v>
      </c>
      <c r="N68" s="10" t="str">
        <f t="shared" si="78"/>
        <v>6</v>
      </c>
      <c r="O68" s="10" t="str">
        <f t="shared" si="78"/>
        <v>7</v>
      </c>
      <c r="P68" s="10" t="str">
        <f t="shared" si="78"/>
        <v>7</v>
      </c>
      <c r="Q68" s="10" t="str">
        <f t="shared" si="78"/>
        <v>9</v>
      </c>
      <c r="R68" s="10" t="str">
        <f t="shared" si="78"/>
        <v>C</v>
      </c>
      <c r="S68" s="10" t="str">
        <f t="shared" si="78"/>
        <v>2</v>
      </c>
    </row>
    <row r="69" spans="2:86">
      <c r="B69" s="9" t="s">
        <v>31</v>
      </c>
      <c r="C69" s="11" t="str">
        <f t="shared" ref="C69:J69" si="79">BIN2HEX(C51)</f>
        <v>2</v>
      </c>
      <c r="D69" s="11" t="str">
        <f t="shared" si="79"/>
        <v>3</v>
      </c>
      <c r="E69" s="11" t="str">
        <f t="shared" si="79"/>
        <v>6</v>
      </c>
      <c r="F69" s="11" t="str">
        <f t="shared" si="79"/>
        <v>7</v>
      </c>
      <c r="G69" s="11" t="str">
        <f t="shared" si="79"/>
        <v>7</v>
      </c>
      <c r="H69" s="11" t="str">
        <f t="shared" si="79"/>
        <v>9</v>
      </c>
      <c r="I69" s="11" t="str">
        <f t="shared" si="79"/>
        <v>C</v>
      </c>
      <c r="J69" s="11" t="str">
        <f t="shared" si="79"/>
        <v>2</v>
      </c>
      <c r="K69" s="9" t="s">
        <v>32</v>
      </c>
      <c r="L69" s="10" t="str">
        <f t="shared" ref="L69:S69" si="80">BIN2HEX(L51)</f>
        <v>A</v>
      </c>
      <c r="M69" s="10" t="str">
        <f t="shared" si="80"/>
        <v>1</v>
      </c>
      <c r="N69" s="10" t="str">
        <f t="shared" si="80"/>
        <v>5</v>
      </c>
      <c r="O69" s="10" t="str">
        <f t="shared" si="80"/>
        <v>A</v>
      </c>
      <c r="P69" s="10" t="str">
        <f t="shared" si="80"/>
        <v>4</v>
      </c>
      <c r="Q69" s="10" t="str">
        <f t="shared" si="80"/>
        <v>B</v>
      </c>
      <c r="R69" s="10" t="str">
        <f t="shared" si="80"/>
        <v>8</v>
      </c>
      <c r="S69" s="10" t="str">
        <f t="shared" si="80"/>
        <v>7</v>
      </c>
    </row>
    <row r="70" spans="2:86">
      <c r="B70" s="9" t="s">
        <v>33</v>
      </c>
      <c r="C70" s="11" t="str">
        <f t="shared" ref="C70:J70" si="81">BIN2HEX(C52)</f>
        <v>A</v>
      </c>
      <c r="D70" s="11" t="str">
        <f t="shared" si="81"/>
        <v>1</v>
      </c>
      <c r="E70" s="11" t="str">
        <f t="shared" si="81"/>
        <v>5</v>
      </c>
      <c r="F70" s="11" t="str">
        <f t="shared" si="81"/>
        <v>A</v>
      </c>
      <c r="G70" s="11" t="str">
        <f t="shared" si="81"/>
        <v>4</v>
      </c>
      <c r="H70" s="11" t="str">
        <f t="shared" si="81"/>
        <v>B</v>
      </c>
      <c r="I70" s="11" t="str">
        <f t="shared" si="81"/>
        <v>8</v>
      </c>
      <c r="J70" s="11" t="str">
        <f t="shared" si="81"/>
        <v>7</v>
      </c>
      <c r="K70" s="9" t="s">
        <v>34</v>
      </c>
      <c r="L70" s="10" t="str">
        <f t="shared" ref="L70:S70" si="82">BIN2HEX(L52)</f>
        <v>2</v>
      </c>
      <c r="M70" s="10" t="str">
        <f t="shared" si="82"/>
        <v>E</v>
      </c>
      <c r="N70" s="10" t="str">
        <f t="shared" si="82"/>
        <v>8</v>
      </c>
      <c r="O70" s="10" t="str">
        <f t="shared" si="82"/>
        <v>F</v>
      </c>
      <c r="P70" s="10" t="str">
        <f t="shared" si="82"/>
        <v>9</v>
      </c>
      <c r="Q70" s="10" t="str">
        <f t="shared" si="82"/>
        <v>C</v>
      </c>
      <c r="R70" s="10" t="str">
        <f t="shared" si="82"/>
        <v>6</v>
      </c>
      <c r="S70" s="10" t="str">
        <f t="shared" si="82"/>
        <v>5</v>
      </c>
    </row>
    <row r="71" spans="2:86">
      <c r="B71" s="9" t="s">
        <v>35</v>
      </c>
      <c r="C71" s="11" t="str">
        <f t="shared" ref="C71:J71" si="83">BIN2HEX(C53)</f>
        <v>2</v>
      </c>
      <c r="D71" s="11" t="str">
        <f t="shared" si="83"/>
        <v>E</v>
      </c>
      <c r="E71" s="11" t="str">
        <f t="shared" si="83"/>
        <v>8</v>
      </c>
      <c r="F71" s="11" t="str">
        <f t="shared" si="83"/>
        <v>F</v>
      </c>
      <c r="G71" s="11" t="str">
        <f t="shared" si="83"/>
        <v>9</v>
      </c>
      <c r="H71" s="11" t="str">
        <f t="shared" si="83"/>
        <v>C</v>
      </c>
      <c r="I71" s="11" t="str">
        <f t="shared" si="83"/>
        <v>6</v>
      </c>
      <c r="J71" s="11" t="str">
        <f t="shared" si="83"/>
        <v>5</v>
      </c>
      <c r="K71" s="9" t="s">
        <v>36</v>
      </c>
      <c r="L71" s="10" t="str">
        <f t="shared" ref="L71:S71" si="84">BIN2HEX(L53)</f>
        <v>A</v>
      </c>
      <c r="M71" s="10" t="str">
        <f t="shared" si="84"/>
        <v>9</v>
      </c>
      <c r="N71" s="10" t="str">
        <f t="shared" si="84"/>
        <v>F</v>
      </c>
      <c r="O71" s="10" t="str">
        <f t="shared" si="84"/>
        <v>C</v>
      </c>
      <c r="P71" s="10" t="str">
        <f t="shared" si="84"/>
        <v>2</v>
      </c>
      <c r="Q71" s="10" t="str">
        <f t="shared" si="84"/>
        <v>0</v>
      </c>
      <c r="R71" s="10" t="str">
        <f t="shared" si="84"/>
        <v>A</v>
      </c>
      <c r="S71" s="10" t="str">
        <f t="shared" si="84"/>
        <v>3</v>
      </c>
    </row>
    <row r="72" spans="2:86">
      <c r="B72" s="9" t="s">
        <v>37</v>
      </c>
      <c r="C72" s="11" t="str">
        <f t="shared" ref="C72:J72" si="85">BIN2HEX(C54)</f>
        <v>A</v>
      </c>
      <c r="D72" s="11" t="str">
        <f t="shared" si="85"/>
        <v>9</v>
      </c>
      <c r="E72" s="11" t="str">
        <f t="shared" si="85"/>
        <v>F</v>
      </c>
      <c r="F72" s="11" t="str">
        <f t="shared" si="85"/>
        <v>C</v>
      </c>
      <c r="G72" s="11" t="str">
        <f t="shared" si="85"/>
        <v>2</v>
      </c>
      <c r="H72" s="11" t="str">
        <f t="shared" si="85"/>
        <v>0</v>
      </c>
      <c r="I72" s="11" t="str">
        <f t="shared" si="85"/>
        <v>A</v>
      </c>
      <c r="J72" s="11" t="str">
        <f t="shared" si="85"/>
        <v>3</v>
      </c>
      <c r="K72" s="9" t="s">
        <v>38</v>
      </c>
      <c r="L72" s="10" t="str">
        <f t="shared" ref="L72:S72" si="86">BIN2HEX(L54)</f>
        <v>3</v>
      </c>
      <c r="M72" s="10" t="str">
        <f t="shared" si="86"/>
        <v>0</v>
      </c>
      <c r="N72" s="10" t="str">
        <f t="shared" si="86"/>
        <v>8</v>
      </c>
      <c r="O72" s="10" t="str">
        <f t="shared" si="86"/>
        <v>B</v>
      </c>
      <c r="P72" s="10" t="str">
        <f t="shared" si="86"/>
        <v>E</v>
      </c>
      <c r="Q72" s="10" t="str">
        <f t="shared" si="86"/>
        <v>E</v>
      </c>
      <c r="R72" s="10" t="str">
        <f t="shared" si="86"/>
        <v>9</v>
      </c>
      <c r="S72" s="10" t="str">
        <f t="shared" si="86"/>
        <v>7</v>
      </c>
    </row>
    <row r="73" spans="2:86">
      <c r="B73" s="9" t="s">
        <v>39</v>
      </c>
      <c r="C73" s="11" t="str">
        <f t="shared" ref="C73:J73" si="87">BIN2HEX(C55)</f>
        <v>3</v>
      </c>
      <c r="D73" s="11" t="str">
        <f t="shared" si="87"/>
        <v>0</v>
      </c>
      <c r="E73" s="11" t="str">
        <f t="shared" si="87"/>
        <v>8</v>
      </c>
      <c r="F73" s="11" t="str">
        <f t="shared" si="87"/>
        <v>B</v>
      </c>
      <c r="G73" s="11" t="str">
        <f t="shared" si="87"/>
        <v>E</v>
      </c>
      <c r="H73" s="11" t="str">
        <f t="shared" si="87"/>
        <v>E</v>
      </c>
      <c r="I73" s="11" t="str">
        <f t="shared" si="87"/>
        <v>9</v>
      </c>
      <c r="J73" s="11" t="str">
        <f t="shared" si="87"/>
        <v>7</v>
      </c>
      <c r="K73" s="9" t="s">
        <v>40</v>
      </c>
      <c r="L73" s="10" t="str">
        <f t="shared" ref="L73:S73" si="88">BIN2HEX(L55)</f>
        <v>1</v>
      </c>
      <c r="M73" s="10" t="str">
        <f t="shared" si="88"/>
        <v>0</v>
      </c>
      <c r="N73" s="10" t="str">
        <f t="shared" si="88"/>
        <v>A</v>
      </c>
      <c r="O73" s="10" t="str">
        <f t="shared" si="88"/>
        <v>F</v>
      </c>
      <c r="P73" s="10" t="str">
        <f t="shared" si="88"/>
        <v>9</v>
      </c>
      <c r="Q73" s="10" t="str">
        <f t="shared" si="88"/>
        <v>D</v>
      </c>
      <c r="R73" s="10" t="str">
        <f t="shared" si="88"/>
        <v>3</v>
      </c>
      <c r="S73" s="10" t="str">
        <f t="shared" si="88"/>
        <v>7</v>
      </c>
    </row>
    <row r="74" spans="2:86">
      <c r="B74" s="9" t="s">
        <v>41</v>
      </c>
      <c r="C74" s="11" t="str">
        <f t="shared" ref="C74:J74" si="89">BIN2HEX(C56)</f>
        <v>1</v>
      </c>
      <c r="D74" s="11" t="str">
        <f t="shared" si="89"/>
        <v>0</v>
      </c>
      <c r="E74" s="11" t="str">
        <f t="shared" si="89"/>
        <v>A</v>
      </c>
      <c r="F74" s="11" t="str">
        <f t="shared" si="89"/>
        <v>F</v>
      </c>
      <c r="G74" s="11" t="str">
        <f t="shared" si="89"/>
        <v>9</v>
      </c>
      <c r="H74" s="11" t="str">
        <f t="shared" si="89"/>
        <v>D</v>
      </c>
      <c r="I74" s="11" t="str">
        <f t="shared" si="89"/>
        <v>3</v>
      </c>
      <c r="J74" s="11" t="str">
        <f t="shared" si="89"/>
        <v>7</v>
      </c>
      <c r="K74" s="9" t="s">
        <v>42</v>
      </c>
      <c r="L74" s="10" t="str">
        <f t="shared" ref="L74:S74" si="90">BIN2HEX(L56)</f>
        <v>6</v>
      </c>
      <c r="M74" s="10" t="str">
        <f t="shared" si="90"/>
        <v>C</v>
      </c>
      <c r="N74" s="10" t="str">
        <f t="shared" si="90"/>
        <v>A</v>
      </c>
      <c r="O74" s="10" t="str">
        <f t="shared" si="90"/>
        <v>6</v>
      </c>
      <c r="P74" s="10" t="str">
        <f t="shared" si="90"/>
        <v>C</v>
      </c>
      <c r="Q74" s="10" t="str">
        <f t="shared" si="90"/>
        <v>B</v>
      </c>
      <c r="R74" s="10" t="str">
        <f t="shared" si="90"/>
        <v>2</v>
      </c>
      <c r="S74" s="10" t="str">
        <f t="shared" si="90"/>
        <v>0</v>
      </c>
    </row>
    <row r="75" spans="2:86">
      <c r="B75" s="9" t="s">
        <v>43</v>
      </c>
      <c r="C75" s="11" t="str">
        <f t="shared" ref="C75:J75" si="91">BIN2HEX(C57)</f>
        <v>6</v>
      </c>
      <c r="D75" s="11" t="str">
        <f t="shared" si="91"/>
        <v>C</v>
      </c>
      <c r="E75" s="11" t="str">
        <f t="shared" si="91"/>
        <v>A</v>
      </c>
      <c r="F75" s="11" t="str">
        <f t="shared" si="91"/>
        <v>6</v>
      </c>
      <c r="G75" s="11" t="str">
        <f t="shared" si="91"/>
        <v>C</v>
      </c>
      <c r="H75" s="11" t="str">
        <f t="shared" si="91"/>
        <v>B</v>
      </c>
      <c r="I75" s="11" t="str">
        <f t="shared" si="91"/>
        <v>2</v>
      </c>
      <c r="J75" s="11" t="str">
        <f t="shared" si="91"/>
        <v>0</v>
      </c>
      <c r="K75" s="9" t="s">
        <v>44</v>
      </c>
      <c r="L75" s="10" t="str">
        <f t="shared" ref="L75:S75" si="92">BIN2HEX(L57)</f>
        <v>F</v>
      </c>
      <c r="M75" s="10" t="str">
        <f t="shared" si="92"/>
        <v>F</v>
      </c>
      <c r="N75" s="10" t="str">
        <f t="shared" si="92"/>
        <v>3</v>
      </c>
      <c r="O75" s="10" t="str">
        <f t="shared" si="92"/>
        <v>C</v>
      </c>
      <c r="P75" s="10" t="str">
        <f t="shared" si="92"/>
        <v>4</v>
      </c>
      <c r="Q75" s="10" t="str">
        <f t="shared" si="92"/>
        <v>8</v>
      </c>
      <c r="R75" s="10" t="str">
        <f t="shared" si="92"/>
        <v>5</v>
      </c>
      <c r="S75" s="10" t="str">
        <f t="shared" si="92"/>
        <v>F</v>
      </c>
    </row>
    <row r="76" spans="2:86">
      <c r="B76" s="9" t="s">
        <v>45</v>
      </c>
      <c r="C76" s="11" t="str">
        <f t="shared" ref="C76:J76" si="93">BIN2HEX(C58)</f>
        <v>F</v>
      </c>
      <c r="D76" s="11" t="str">
        <f t="shared" si="93"/>
        <v>F</v>
      </c>
      <c r="E76" s="11" t="str">
        <f t="shared" si="93"/>
        <v>3</v>
      </c>
      <c r="F76" s="11" t="str">
        <f t="shared" si="93"/>
        <v>C</v>
      </c>
      <c r="G76" s="11" t="str">
        <f t="shared" si="93"/>
        <v>4</v>
      </c>
      <c r="H76" s="11" t="str">
        <f t="shared" si="93"/>
        <v>8</v>
      </c>
      <c r="I76" s="11" t="str">
        <f t="shared" si="93"/>
        <v>5</v>
      </c>
      <c r="J76" s="11" t="str">
        <f t="shared" si="93"/>
        <v>F</v>
      </c>
      <c r="K76" s="9" t="s">
        <v>46</v>
      </c>
      <c r="L76" s="10" t="str">
        <f t="shared" ref="L76:S76" si="94">BIN2HEX(L58)</f>
        <v>2</v>
      </c>
      <c r="M76" s="10" t="str">
        <f t="shared" si="94"/>
        <v>2</v>
      </c>
      <c r="N76" s="10" t="str">
        <f t="shared" si="94"/>
        <v>A</v>
      </c>
      <c r="O76" s="10" t="str">
        <f t="shared" si="94"/>
        <v>5</v>
      </c>
      <c r="P76" s="10" t="str">
        <f t="shared" si="94"/>
        <v>9</v>
      </c>
      <c r="Q76" s="10" t="str">
        <f t="shared" si="94"/>
        <v>6</v>
      </c>
      <c r="R76" s="10" t="str">
        <f t="shared" si="94"/>
        <v>3</v>
      </c>
      <c r="S76" s="10" t="str">
        <f t="shared" si="94"/>
        <v>B</v>
      </c>
    </row>
    <row r="77" spans="2:86">
      <c r="B77" s="9" t="s">
        <v>47</v>
      </c>
      <c r="C77" s="11" t="str">
        <f t="shared" ref="C77:J77" si="95">BIN2HEX(C59)</f>
        <v>2</v>
      </c>
      <c r="D77" s="11" t="str">
        <f t="shared" si="95"/>
        <v>2</v>
      </c>
      <c r="E77" s="11" t="str">
        <f t="shared" si="95"/>
        <v>A</v>
      </c>
      <c r="F77" s="11" t="str">
        <f t="shared" si="95"/>
        <v>5</v>
      </c>
      <c r="G77" s="11" t="str">
        <f t="shared" si="95"/>
        <v>9</v>
      </c>
      <c r="H77" s="11" t="str">
        <f t="shared" si="95"/>
        <v>6</v>
      </c>
      <c r="I77" s="11" t="str">
        <f t="shared" si="95"/>
        <v>3</v>
      </c>
      <c r="J77" s="11" t="str">
        <f t="shared" si="95"/>
        <v>B</v>
      </c>
      <c r="K77" s="9" t="s">
        <v>48</v>
      </c>
      <c r="L77" s="10" t="str">
        <f t="shared" ref="L77:S77" si="96">BIN2HEX(L59)</f>
        <v>3</v>
      </c>
      <c r="M77" s="10" t="str">
        <f t="shared" si="96"/>
        <v>8</v>
      </c>
      <c r="N77" s="10" t="str">
        <f t="shared" si="96"/>
        <v>7</v>
      </c>
      <c r="O77" s="10" t="str">
        <f t="shared" si="96"/>
        <v>C</v>
      </c>
      <c r="P77" s="10" t="str">
        <f t="shared" si="96"/>
        <v>C</v>
      </c>
      <c r="Q77" s="10" t="str">
        <f t="shared" si="96"/>
        <v>D</v>
      </c>
      <c r="R77" s="10" t="str">
        <f t="shared" si="96"/>
        <v>A</v>
      </c>
      <c r="S77" s="10" t="str">
        <f t="shared" si="96"/>
        <v>A</v>
      </c>
    </row>
    <row r="78" spans="2:86">
      <c r="B78" s="9" t="s">
        <v>49</v>
      </c>
      <c r="C78" s="11" t="str">
        <f t="shared" ref="C78:J78" si="97">BIN2HEX(C60)</f>
        <v>3</v>
      </c>
      <c r="D78" s="11" t="str">
        <f t="shared" si="97"/>
        <v>8</v>
      </c>
      <c r="E78" s="11" t="str">
        <f t="shared" si="97"/>
        <v>7</v>
      </c>
      <c r="F78" s="11" t="str">
        <f t="shared" si="97"/>
        <v>C</v>
      </c>
      <c r="G78" s="11" t="str">
        <f t="shared" si="97"/>
        <v>C</v>
      </c>
      <c r="H78" s="11" t="str">
        <f t="shared" si="97"/>
        <v>D</v>
      </c>
      <c r="I78" s="11" t="str">
        <f t="shared" si="97"/>
        <v>A</v>
      </c>
      <c r="J78" s="11" t="str">
        <f t="shared" si="97"/>
        <v>A</v>
      </c>
      <c r="K78" s="9" t="s">
        <v>50</v>
      </c>
      <c r="L78" s="10" t="str">
        <f t="shared" ref="L78:S78" si="98">BIN2HEX(L60)</f>
        <v>B</v>
      </c>
      <c r="M78" s="10" t="str">
        <f t="shared" si="98"/>
        <v>D</v>
      </c>
      <c r="N78" s="10" t="str">
        <f t="shared" si="98"/>
        <v>2</v>
      </c>
      <c r="O78" s="10" t="str">
        <f t="shared" si="98"/>
        <v>D</v>
      </c>
      <c r="P78" s="10" t="str">
        <f t="shared" si="98"/>
        <v>D</v>
      </c>
      <c r="Q78" s="10" t="str">
        <f t="shared" si="98"/>
        <v>2</v>
      </c>
      <c r="R78" s="10" t="str">
        <f t="shared" si="98"/>
        <v>A</v>
      </c>
      <c r="S78" s="10" t="str">
        <f t="shared" si="98"/>
        <v>B</v>
      </c>
    </row>
    <row r="79" spans="2:86">
      <c r="B79" s="9" t="s">
        <v>51</v>
      </c>
      <c r="C79" s="11" t="str">
        <f t="shared" ref="C79:J79" si="99">BIN2HEX(C61)</f>
        <v>B</v>
      </c>
      <c r="D79" s="11" t="str">
        <f t="shared" si="99"/>
        <v>D</v>
      </c>
      <c r="E79" s="11" t="str">
        <f t="shared" si="99"/>
        <v>2</v>
      </c>
      <c r="F79" s="11" t="str">
        <f t="shared" si="99"/>
        <v>D</v>
      </c>
      <c r="G79" s="11" t="str">
        <f t="shared" si="99"/>
        <v>D</v>
      </c>
      <c r="H79" s="11" t="str">
        <f t="shared" si="99"/>
        <v>2</v>
      </c>
      <c r="I79" s="11" t="str">
        <f t="shared" si="99"/>
        <v>A</v>
      </c>
      <c r="J79" s="11" t="str">
        <f t="shared" si="99"/>
        <v>B</v>
      </c>
      <c r="K79" s="9" t="s">
        <v>52</v>
      </c>
      <c r="L79" s="10" t="str">
        <f t="shared" ref="L79:S79" si="100">BIN2HEX(L61)</f>
        <v>C</v>
      </c>
      <c r="M79" s="10" t="str">
        <f t="shared" si="100"/>
        <v>F</v>
      </c>
      <c r="N79" s="10" t="str">
        <f t="shared" si="100"/>
        <v>2</v>
      </c>
      <c r="O79" s="10" t="str">
        <f t="shared" si="100"/>
        <v>6</v>
      </c>
      <c r="P79" s="10" t="str">
        <f t="shared" si="100"/>
        <v>B</v>
      </c>
      <c r="Q79" s="10" t="str">
        <f t="shared" si="100"/>
        <v>4</v>
      </c>
      <c r="R79" s="10" t="str">
        <f t="shared" si="100"/>
        <v>7</v>
      </c>
      <c r="S79" s="10" t="str">
        <f t="shared" si="100"/>
        <v>2</v>
      </c>
    </row>
    <row r="80" spans="2:86">
      <c r="B80" s="9" t="s">
        <v>53</v>
      </c>
      <c r="C80" s="11" t="str">
        <f t="shared" ref="C80:J80" si="101">BIN2HEX(C62)</f>
        <v>C</v>
      </c>
      <c r="D80" s="11" t="str">
        <f t="shared" si="101"/>
        <v>F</v>
      </c>
      <c r="E80" s="11" t="str">
        <f t="shared" si="101"/>
        <v>2</v>
      </c>
      <c r="F80" s="11" t="str">
        <f t="shared" si="101"/>
        <v>6</v>
      </c>
      <c r="G80" s="11" t="str">
        <f t="shared" si="101"/>
        <v>B</v>
      </c>
      <c r="H80" s="11" t="str">
        <f t="shared" si="101"/>
        <v>4</v>
      </c>
      <c r="I80" s="11" t="str">
        <f t="shared" si="101"/>
        <v>7</v>
      </c>
      <c r="J80" s="11" t="str">
        <f t="shared" si="101"/>
        <v>2</v>
      </c>
      <c r="K80" s="9" t="s">
        <v>54</v>
      </c>
      <c r="L80" s="10" t="str">
        <f t="shared" ref="L80:S80" si="102">BIN2HEX(L62)</f>
        <v>1</v>
      </c>
      <c r="M80" s="10" t="str">
        <f t="shared" si="102"/>
        <v>9</v>
      </c>
      <c r="N80" s="10" t="str">
        <f t="shared" si="102"/>
        <v>B</v>
      </c>
      <c r="O80" s="10" t="str">
        <f t="shared" si="102"/>
        <v>A</v>
      </c>
      <c r="P80" s="10" t="str">
        <f t="shared" si="102"/>
        <v>9</v>
      </c>
      <c r="Q80" s="10" t="str">
        <f t="shared" si="102"/>
        <v>2</v>
      </c>
      <c r="R80" s="10" t="str">
        <f t="shared" si="102"/>
        <v>1</v>
      </c>
      <c r="S80" s="10" t="str">
        <f t="shared" si="102"/>
        <v>2</v>
      </c>
    </row>
  </sheetData>
  <mergeCells count="2">
    <mergeCell ref="W7:X7"/>
    <mergeCell ref="W8:X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W40"/>
  <sheetViews>
    <sheetView workbookViewId="0">
      <pane xSplit="14180" activePane="topRight"/>
      <selection pane="topRight" activeCell="GV1" sqref="GV1"/>
      <selection activeCell="C39" sqref="C39"/>
    </sheetView>
  </sheetViews>
  <sheetFormatPr defaultColWidth="8.85546875" defaultRowHeight="15"/>
  <cols>
    <col min="1" max="1" width="9.140625" customWidth="1"/>
    <col min="2" max="3" width="4.28515625"/>
    <col min="4" max="65" width="9.140625" hidden="1" customWidth="1"/>
    <col min="66" max="68" width="4.28515625"/>
    <col min="69" max="130" width="9.140625" hidden="1" customWidth="1"/>
    <col min="131" max="133" width="4.28515625"/>
    <col min="134" max="135" width="9.140625" customWidth="1"/>
    <col min="136" max="195" width="9.140625" hidden="1" customWidth="1"/>
    <col min="196" max="196" width="4.28515625"/>
    <col min="197" max="197" width="10.42578125" customWidth="1"/>
    <col min="200" max="200" width="16.7109375" customWidth="1"/>
  </cols>
  <sheetData>
    <row r="1" spans="1:205" ht="18.95"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6">
        <v>13</v>
      </c>
      <c r="O1" s="26">
        <v>14</v>
      </c>
      <c r="P1" s="26">
        <v>15</v>
      </c>
      <c r="Q1" s="26">
        <v>16</v>
      </c>
      <c r="R1" s="26">
        <v>17</v>
      </c>
      <c r="S1" s="26">
        <v>18</v>
      </c>
      <c r="T1" s="26">
        <v>19</v>
      </c>
      <c r="U1" s="26">
        <v>20</v>
      </c>
      <c r="V1" s="26">
        <v>21</v>
      </c>
      <c r="W1" s="26">
        <v>22</v>
      </c>
      <c r="X1" s="26">
        <v>23</v>
      </c>
      <c r="Y1" s="26">
        <v>24</v>
      </c>
      <c r="Z1" s="26">
        <v>25</v>
      </c>
      <c r="AA1" s="26">
        <v>26</v>
      </c>
      <c r="AB1" s="26">
        <v>27</v>
      </c>
      <c r="AC1" s="26">
        <v>28</v>
      </c>
      <c r="AD1" s="26">
        <v>29</v>
      </c>
      <c r="AE1" s="26">
        <v>30</v>
      </c>
      <c r="AF1" s="26">
        <v>31</v>
      </c>
      <c r="AG1" s="26">
        <v>32</v>
      </c>
      <c r="AH1" s="26">
        <v>33</v>
      </c>
      <c r="AI1" s="26">
        <v>34</v>
      </c>
      <c r="AJ1" s="26">
        <v>35</v>
      </c>
      <c r="AK1" s="26">
        <v>36</v>
      </c>
      <c r="AL1" s="26">
        <v>37</v>
      </c>
      <c r="AM1" s="26">
        <v>38</v>
      </c>
      <c r="AN1" s="26">
        <v>39</v>
      </c>
      <c r="AO1" s="26">
        <v>40</v>
      </c>
      <c r="AP1" s="26">
        <v>41</v>
      </c>
      <c r="AQ1" s="26">
        <v>42</v>
      </c>
      <c r="AR1" s="26">
        <v>43</v>
      </c>
      <c r="AS1" s="26">
        <v>44</v>
      </c>
      <c r="AT1" s="26">
        <v>45</v>
      </c>
      <c r="AU1" s="26">
        <v>46</v>
      </c>
      <c r="AV1" s="26">
        <v>47</v>
      </c>
      <c r="AW1" s="26">
        <v>48</v>
      </c>
      <c r="AX1" s="26">
        <v>49</v>
      </c>
      <c r="AY1" s="26">
        <v>50</v>
      </c>
      <c r="AZ1" s="26">
        <v>51</v>
      </c>
      <c r="BA1" s="26">
        <v>52</v>
      </c>
      <c r="BB1" s="26">
        <v>53</v>
      </c>
      <c r="BC1" s="26">
        <v>54</v>
      </c>
      <c r="BD1" s="26">
        <v>55</v>
      </c>
      <c r="BE1" s="26">
        <v>56</v>
      </c>
      <c r="BF1" s="26">
        <v>57</v>
      </c>
      <c r="BG1" s="26">
        <v>58</v>
      </c>
      <c r="BH1" s="26">
        <v>59</v>
      </c>
      <c r="BI1" s="26">
        <v>60</v>
      </c>
      <c r="BJ1" s="26">
        <v>61</v>
      </c>
      <c r="BK1" s="26">
        <v>62</v>
      </c>
      <c r="BL1" s="26">
        <v>63</v>
      </c>
      <c r="BM1" s="26">
        <v>64</v>
      </c>
      <c r="BO1" s="26">
        <v>1</v>
      </c>
      <c r="BP1" s="26">
        <v>2</v>
      </c>
      <c r="BQ1" s="26">
        <v>3</v>
      </c>
      <c r="BR1" s="26">
        <v>4</v>
      </c>
      <c r="BS1" s="26">
        <v>5</v>
      </c>
      <c r="BT1" s="26">
        <v>6</v>
      </c>
      <c r="BU1" s="26">
        <v>7</v>
      </c>
      <c r="BV1" s="26">
        <v>8</v>
      </c>
      <c r="BW1" s="26">
        <v>9</v>
      </c>
      <c r="BX1" s="26">
        <v>10</v>
      </c>
      <c r="BY1" s="26">
        <v>11</v>
      </c>
      <c r="BZ1" s="26">
        <v>12</v>
      </c>
      <c r="CA1" s="26">
        <v>13</v>
      </c>
      <c r="CB1" s="26">
        <v>14</v>
      </c>
      <c r="CC1" s="26">
        <v>15</v>
      </c>
      <c r="CD1" s="26">
        <v>16</v>
      </c>
      <c r="CE1" s="26">
        <v>17</v>
      </c>
      <c r="CF1" s="26">
        <v>18</v>
      </c>
      <c r="CG1" s="26">
        <v>19</v>
      </c>
      <c r="CH1" s="26">
        <v>20</v>
      </c>
      <c r="CI1" s="26">
        <v>21</v>
      </c>
      <c r="CJ1" s="26">
        <v>22</v>
      </c>
      <c r="CK1" s="26">
        <v>23</v>
      </c>
      <c r="CL1" s="26">
        <v>24</v>
      </c>
      <c r="CM1" s="26">
        <v>25</v>
      </c>
      <c r="CN1" s="26">
        <v>26</v>
      </c>
      <c r="CO1" s="26">
        <v>27</v>
      </c>
      <c r="CP1" s="26">
        <v>28</v>
      </c>
      <c r="CQ1" s="26">
        <v>29</v>
      </c>
      <c r="CR1" s="26">
        <v>30</v>
      </c>
      <c r="CS1" s="26">
        <v>31</v>
      </c>
      <c r="CT1" s="26">
        <v>32</v>
      </c>
      <c r="CU1" s="26">
        <v>33</v>
      </c>
      <c r="CV1" s="26">
        <v>34</v>
      </c>
      <c r="CW1" s="26">
        <v>35</v>
      </c>
      <c r="CX1" s="26">
        <v>36</v>
      </c>
      <c r="CY1" s="26">
        <v>37</v>
      </c>
      <c r="CZ1" s="26">
        <v>38</v>
      </c>
      <c r="DA1" s="26">
        <v>39</v>
      </c>
      <c r="DB1" s="26">
        <v>40</v>
      </c>
      <c r="DC1" s="26">
        <v>41</v>
      </c>
      <c r="DD1" s="26">
        <v>42</v>
      </c>
      <c r="DE1" s="26">
        <v>43</v>
      </c>
      <c r="DF1" s="26">
        <v>44</v>
      </c>
      <c r="DG1" s="26">
        <v>45</v>
      </c>
      <c r="DH1" s="26">
        <v>46</v>
      </c>
      <c r="DI1" s="26">
        <v>47</v>
      </c>
      <c r="DJ1" s="26">
        <v>48</v>
      </c>
      <c r="DK1" s="26">
        <v>49</v>
      </c>
      <c r="DL1" s="26">
        <v>50</v>
      </c>
      <c r="DM1" s="26">
        <v>51</v>
      </c>
      <c r="DN1" s="26">
        <v>52</v>
      </c>
      <c r="DO1" s="26">
        <v>53</v>
      </c>
      <c r="DP1" s="26">
        <v>54</v>
      </c>
      <c r="DQ1" s="26">
        <v>55</v>
      </c>
      <c r="DR1" s="26">
        <v>56</v>
      </c>
      <c r="DS1" s="26">
        <v>57</v>
      </c>
      <c r="DT1" s="26">
        <v>58</v>
      </c>
      <c r="DU1" s="26">
        <v>59</v>
      </c>
      <c r="DV1" s="26">
        <v>60</v>
      </c>
      <c r="DW1" s="26">
        <v>61</v>
      </c>
      <c r="DX1" s="26">
        <v>62</v>
      </c>
      <c r="DY1" s="26">
        <v>63</v>
      </c>
      <c r="DZ1" s="26">
        <v>64</v>
      </c>
      <c r="EB1" s="26">
        <v>1</v>
      </c>
      <c r="EC1" s="26">
        <v>2</v>
      </c>
      <c r="ED1" s="26">
        <v>3</v>
      </c>
      <c r="EE1" s="26">
        <v>4</v>
      </c>
      <c r="EF1" s="26">
        <v>5</v>
      </c>
      <c r="EG1" s="26">
        <v>6</v>
      </c>
      <c r="EH1" s="26">
        <v>7</v>
      </c>
      <c r="EI1" s="26">
        <v>8</v>
      </c>
      <c r="EJ1" s="26">
        <v>9</v>
      </c>
      <c r="EK1" s="26">
        <v>10</v>
      </c>
      <c r="EL1" s="26">
        <v>11</v>
      </c>
      <c r="EM1" s="26">
        <v>12</v>
      </c>
      <c r="EN1" s="26">
        <v>13</v>
      </c>
      <c r="EO1" s="26">
        <v>14</v>
      </c>
      <c r="EP1" s="26">
        <v>15</v>
      </c>
      <c r="EQ1" s="26">
        <v>16</v>
      </c>
      <c r="ER1" s="26">
        <v>17</v>
      </c>
      <c r="ES1" s="26">
        <v>18</v>
      </c>
      <c r="ET1" s="26">
        <v>19</v>
      </c>
      <c r="EU1" s="26">
        <v>20</v>
      </c>
      <c r="EV1" s="26">
        <v>21</v>
      </c>
      <c r="EW1" s="26">
        <v>22</v>
      </c>
      <c r="EX1" s="26">
        <v>23</v>
      </c>
      <c r="EY1" s="26">
        <v>24</v>
      </c>
      <c r="EZ1" s="26">
        <v>25</v>
      </c>
      <c r="FA1" s="26">
        <v>26</v>
      </c>
      <c r="FB1" s="26">
        <v>27</v>
      </c>
      <c r="FC1" s="26">
        <v>28</v>
      </c>
      <c r="FD1" s="26">
        <v>29</v>
      </c>
      <c r="FE1" s="26">
        <v>30</v>
      </c>
      <c r="FF1" s="26">
        <v>31</v>
      </c>
      <c r="FG1" s="26">
        <v>32</v>
      </c>
      <c r="FH1" s="26">
        <v>33</v>
      </c>
      <c r="FI1" s="26">
        <v>34</v>
      </c>
      <c r="FJ1" s="26">
        <v>35</v>
      </c>
      <c r="FK1" s="26">
        <v>36</v>
      </c>
      <c r="FL1" s="26">
        <v>37</v>
      </c>
      <c r="FM1" s="26">
        <v>38</v>
      </c>
      <c r="FN1" s="26">
        <v>39</v>
      </c>
      <c r="FO1" s="26">
        <v>40</v>
      </c>
      <c r="FP1" s="26">
        <v>41</v>
      </c>
      <c r="FQ1" s="26">
        <v>42</v>
      </c>
      <c r="FR1" s="26">
        <v>43</v>
      </c>
      <c r="FS1" s="26">
        <v>44</v>
      </c>
      <c r="FT1" s="26">
        <v>45</v>
      </c>
      <c r="FU1" s="26">
        <v>46</v>
      </c>
      <c r="FV1" s="26">
        <v>47</v>
      </c>
      <c r="FW1" s="26">
        <v>48</v>
      </c>
      <c r="FX1" s="26">
        <v>49</v>
      </c>
      <c r="FY1" s="26">
        <v>50</v>
      </c>
      <c r="FZ1" s="26">
        <v>51</v>
      </c>
      <c r="GA1" s="26">
        <v>52</v>
      </c>
      <c r="GB1" s="26">
        <v>53</v>
      </c>
      <c r="GC1" s="26">
        <v>54</v>
      </c>
      <c r="GD1" s="26">
        <v>55</v>
      </c>
      <c r="GE1" s="26">
        <v>56</v>
      </c>
      <c r="GF1" s="26">
        <v>57</v>
      </c>
      <c r="GG1" s="26">
        <v>58</v>
      </c>
      <c r="GH1" s="26">
        <v>59</v>
      </c>
      <c r="GI1" s="26">
        <v>60</v>
      </c>
      <c r="GJ1" s="26">
        <v>61</v>
      </c>
      <c r="GK1" s="26">
        <v>62</v>
      </c>
      <c r="GL1" s="26">
        <v>63</v>
      </c>
      <c r="GM1" s="26">
        <v>64</v>
      </c>
      <c r="GO1" t="s">
        <v>59</v>
      </c>
    </row>
    <row r="2" spans="1:205">
      <c r="A2" s="9" t="s">
        <v>60</v>
      </c>
      <c r="B2" s="9" t="s">
        <v>61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 t="s">
        <v>62</v>
      </c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 t="s">
        <v>63</v>
      </c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 t="s">
        <v>64</v>
      </c>
      <c r="GT2" s="5"/>
      <c r="GU2" s="5" t="s">
        <v>61</v>
      </c>
      <c r="GV2" s="5"/>
      <c r="GW2" s="28" t="s">
        <v>62</v>
      </c>
    </row>
    <row r="3" spans="1:205">
      <c r="A3" s="2">
        <v>0</v>
      </c>
      <c r="B3" t="str">
        <f>VLOOKUP(A3,MESSAGE,2,FALSE)</f>
        <v>0000000100000000000000000000000000000000000000000000000000000000</v>
      </c>
      <c r="BO3" t="str">
        <f>VLOOKUP(A3,MESSAGE, 4,FALSE)</f>
        <v>0000000100000000000000000000000000000000000000010000000000000000</v>
      </c>
      <c r="GT3" s="3">
        <v>0</v>
      </c>
      <c r="GU3" s="5" t="s">
        <v>65</v>
      </c>
      <c r="GV3" s="5"/>
      <c r="GW3" s="28" t="s">
        <v>66</v>
      </c>
    </row>
    <row r="4" spans="1:205">
      <c r="A4" s="2"/>
      <c r="B4" s="1" t="str">
        <f>MID($B3,B$1,1)</f>
        <v>0</v>
      </c>
      <c r="C4" s="1" t="str">
        <f t="shared" ref="C4:BM4" si="0">MID($B3,C$1,1)</f>
        <v>0</v>
      </c>
      <c r="D4" s="1" t="str">
        <f t="shared" si="0"/>
        <v>0</v>
      </c>
      <c r="E4" s="1" t="str">
        <f t="shared" si="0"/>
        <v>0</v>
      </c>
      <c r="F4" s="1" t="str">
        <f t="shared" si="0"/>
        <v>0</v>
      </c>
      <c r="G4" s="1" t="str">
        <f t="shared" si="0"/>
        <v>0</v>
      </c>
      <c r="H4" s="1" t="str">
        <f t="shared" si="0"/>
        <v>0</v>
      </c>
      <c r="I4" s="1" t="str">
        <f t="shared" si="0"/>
        <v>1</v>
      </c>
      <c r="J4" s="1" t="str">
        <f t="shared" si="0"/>
        <v>0</v>
      </c>
      <c r="K4" s="1" t="str">
        <f t="shared" si="0"/>
        <v>0</v>
      </c>
      <c r="L4" s="1" t="str">
        <f t="shared" si="0"/>
        <v>0</v>
      </c>
      <c r="M4" s="1" t="str">
        <f t="shared" si="0"/>
        <v>0</v>
      </c>
      <c r="N4" s="1" t="str">
        <f t="shared" si="0"/>
        <v>0</v>
      </c>
      <c r="O4" s="1" t="str">
        <f t="shared" si="0"/>
        <v>0</v>
      </c>
      <c r="P4" s="1" t="str">
        <f t="shared" si="0"/>
        <v>0</v>
      </c>
      <c r="Q4" s="1" t="str">
        <f t="shared" si="0"/>
        <v>0</v>
      </c>
      <c r="R4" s="1" t="str">
        <f t="shared" si="0"/>
        <v>0</v>
      </c>
      <c r="S4" s="1" t="str">
        <f t="shared" si="0"/>
        <v>0</v>
      </c>
      <c r="T4" s="1" t="str">
        <f t="shared" si="0"/>
        <v>0</v>
      </c>
      <c r="U4" s="1" t="str">
        <f t="shared" si="0"/>
        <v>0</v>
      </c>
      <c r="V4" s="1" t="str">
        <f t="shared" si="0"/>
        <v>0</v>
      </c>
      <c r="W4" s="1" t="str">
        <f t="shared" si="0"/>
        <v>0</v>
      </c>
      <c r="X4" s="1" t="str">
        <f t="shared" si="0"/>
        <v>0</v>
      </c>
      <c r="Y4" s="1" t="str">
        <f t="shared" si="0"/>
        <v>0</v>
      </c>
      <c r="Z4" s="1" t="str">
        <f t="shared" si="0"/>
        <v>0</v>
      </c>
      <c r="AA4" s="1" t="str">
        <f t="shared" si="0"/>
        <v>0</v>
      </c>
      <c r="AB4" s="1" t="str">
        <f t="shared" si="0"/>
        <v>0</v>
      </c>
      <c r="AC4" s="1" t="str">
        <f t="shared" si="0"/>
        <v>0</v>
      </c>
      <c r="AD4" s="1" t="str">
        <f t="shared" si="0"/>
        <v>0</v>
      </c>
      <c r="AE4" s="1" t="str">
        <f t="shared" si="0"/>
        <v>0</v>
      </c>
      <c r="AF4" s="1" t="str">
        <f t="shared" si="0"/>
        <v>0</v>
      </c>
      <c r="AG4" s="1" t="str">
        <f t="shared" si="0"/>
        <v>0</v>
      </c>
      <c r="AH4" s="1" t="str">
        <f t="shared" si="0"/>
        <v>0</v>
      </c>
      <c r="AI4" s="1" t="str">
        <f t="shared" si="0"/>
        <v>0</v>
      </c>
      <c r="AJ4" s="1" t="str">
        <f t="shared" si="0"/>
        <v>0</v>
      </c>
      <c r="AK4" s="1" t="str">
        <f t="shared" si="0"/>
        <v>0</v>
      </c>
      <c r="AL4" s="1" t="str">
        <f t="shared" si="0"/>
        <v>0</v>
      </c>
      <c r="AM4" s="1" t="str">
        <f t="shared" si="0"/>
        <v>0</v>
      </c>
      <c r="AN4" s="1" t="str">
        <f t="shared" si="0"/>
        <v>0</v>
      </c>
      <c r="AO4" s="1" t="str">
        <f t="shared" si="0"/>
        <v>0</v>
      </c>
      <c r="AP4" s="1" t="str">
        <f t="shared" si="0"/>
        <v>0</v>
      </c>
      <c r="AQ4" s="1" t="str">
        <f t="shared" si="0"/>
        <v>0</v>
      </c>
      <c r="AR4" s="1" t="str">
        <f t="shared" si="0"/>
        <v>0</v>
      </c>
      <c r="AS4" s="1" t="str">
        <f t="shared" si="0"/>
        <v>0</v>
      </c>
      <c r="AT4" s="1" t="str">
        <f t="shared" si="0"/>
        <v>0</v>
      </c>
      <c r="AU4" s="1" t="str">
        <f t="shared" si="0"/>
        <v>0</v>
      </c>
      <c r="AV4" s="1" t="str">
        <f t="shared" si="0"/>
        <v>0</v>
      </c>
      <c r="AW4" s="1" t="str">
        <f t="shared" si="0"/>
        <v>0</v>
      </c>
      <c r="AX4" s="1" t="str">
        <f t="shared" si="0"/>
        <v>0</v>
      </c>
      <c r="AY4" s="1" t="str">
        <f t="shared" si="0"/>
        <v>0</v>
      </c>
      <c r="AZ4" s="1" t="str">
        <f t="shared" si="0"/>
        <v>0</v>
      </c>
      <c r="BA4" s="1" t="str">
        <f t="shared" si="0"/>
        <v>0</v>
      </c>
      <c r="BB4" s="1" t="str">
        <f t="shared" si="0"/>
        <v>0</v>
      </c>
      <c r="BC4" s="1" t="str">
        <f t="shared" si="0"/>
        <v>0</v>
      </c>
      <c r="BD4" s="1" t="str">
        <f t="shared" si="0"/>
        <v>0</v>
      </c>
      <c r="BE4" s="1" t="str">
        <f t="shared" si="0"/>
        <v>0</v>
      </c>
      <c r="BF4" s="1" t="str">
        <f t="shared" si="0"/>
        <v>0</v>
      </c>
      <c r="BG4" s="1" t="str">
        <f t="shared" si="0"/>
        <v>0</v>
      </c>
      <c r="BH4" s="1" t="str">
        <f t="shared" si="0"/>
        <v>0</v>
      </c>
      <c r="BI4" s="1" t="str">
        <f t="shared" si="0"/>
        <v>0</v>
      </c>
      <c r="BJ4" s="1" t="str">
        <f t="shared" si="0"/>
        <v>0</v>
      </c>
      <c r="BK4" s="1" t="str">
        <f t="shared" si="0"/>
        <v>0</v>
      </c>
      <c r="BL4" s="1" t="str">
        <f t="shared" si="0"/>
        <v>0</v>
      </c>
      <c r="BM4" s="1" t="str">
        <f t="shared" si="0"/>
        <v>0</v>
      </c>
      <c r="BN4" s="1"/>
      <c r="BO4" s="1" t="str">
        <f>MID($BO3,BO$1,1)</f>
        <v>0</v>
      </c>
      <c r="BP4" s="1" t="str">
        <f t="shared" ref="BP4:DZ4" si="1">MID($BO3,BP$1,1)</f>
        <v>0</v>
      </c>
      <c r="BQ4" s="1" t="str">
        <f t="shared" si="1"/>
        <v>0</v>
      </c>
      <c r="BR4" s="1" t="str">
        <f t="shared" si="1"/>
        <v>0</v>
      </c>
      <c r="BS4" s="1" t="str">
        <f t="shared" si="1"/>
        <v>0</v>
      </c>
      <c r="BT4" s="1" t="str">
        <f t="shared" si="1"/>
        <v>0</v>
      </c>
      <c r="BU4" s="1" t="str">
        <f t="shared" si="1"/>
        <v>0</v>
      </c>
      <c r="BV4" s="1" t="str">
        <f t="shared" si="1"/>
        <v>1</v>
      </c>
      <c r="BW4" s="1" t="str">
        <f t="shared" si="1"/>
        <v>0</v>
      </c>
      <c r="BX4" s="1" t="str">
        <f t="shared" si="1"/>
        <v>0</v>
      </c>
      <c r="BY4" s="1" t="str">
        <f t="shared" si="1"/>
        <v>0</v>
      </c>
      <c r="BZ4" s="1" t="str">
        <f t="shared" si="1"/>
        <v>0</v>
      </c>
      <c r="CA4" s="1" t="str">
        <f t="shared" si="1"/>
        <v>0</v>
      </c>
      <c r="CB4" s="1" t="str">
        <f t="shared" si="1"/>
        <v>0</v>
      </c>
      <c r="CC4" s="1" t="str">
        <f t="shared" si="1"/>
        <v>0</v>
      </c>
      <c r="CD4" s="1" t="str">
        <f t="shared" si="1"/>
        <v>0</v>
      </c>
      <c r="CE4" s="1" t="str">
        <f t="shared" si="1"/>
        <v>0</v>
      </c>
      <c r="CF4" s="1" t="str">
        <f t="shared" si="1"/>
        <v>0</v>
      </c>
      <c r="CG4" s="1" t="str">
        <f t="shared" si="1"/>
        <v>0</v>
      </c>
      <c r="CH4" s="1" t="str">
        <f t="shared" si="1"/>
        <v>0</v>
      </c>
      <c r="CI4" s="1" t="str">
        <f t="shared" si="1"/>
        <v>0</v>
      </c>
      <c r="CJ4" s="1" t="str">
        <f t="shared" si="1"/>
        <v>0</v>
      </c>
      <c r="CK4" s="1" t="str">
        <f t="shared" si="1"/>
        <v>0</v>
      </c>
      <c r="CL4" s="1" t="str">
        <f t="shared" si="1"/>
        <v>0</v>
      </c>
      <c r="CM4" s="1" t="str">
        <f t="shared" si="1"/>
        <v>0</v>
      </c>
      <c r="CN4" s="1" t="str">
        <f t="shared" si="1"/>
        <v>0</v>
      </c>
      <c r="CO4" s="1" t="str">
        <f t="shared" si="1"/>
        <v>0</v>
      </c>
      <c r="CP4" s="1" t="str">
        <f t="shared" si="1"/>
        <v>0</v>
      </c>
      <c r="CQ4" s="1" t="str">
        <f t="shared" si="1"/>
        <v>0</v>
      </c>
      <c r="CR4" s="1" t="str">
        <f t="shared" si="1"/>
        <v>0</v>
      </c>
      <c r="CS4" s="1" t="str">
        <f t="shared" si="1"/>
        <v>0</v>
      </c>
      <c r="CT4" s="1" t="str">
        <f t="shared" si="1"/>
        <v>0</v>
      </c>
      <c r="CU4" s="1" t="str">
        <f t="shared" si="1"/>
        <v>0</v>
      </c>
      <c r="CV4" s="1" t="str">
        <f t="shared" si="1"/>
        <v>0</v>
      </c>
      <c r="CW4" s="1" t="str">
        <f t="shared" si="1"/>
        <v>0</v>
      </c>
      <c r="CX4" s="1" t="str">
        <f t="shared" si="1"/>
        <v>0</v>
      </c>
      <c r="CY4" s="1" t="str">
        <f t="shared" si="1"/>
        <v>0</v>
      </c>
      <c r="CZ4" s="1" t="str">
        <f t="shared" si="1"/>
        <v>0</v>
      </c>
      <c r="DA4" s="1" t="str">
        <f t="shared" si="1"/>
        <v>0</v>
      </c>
      <c r="DB4" s="1" t="str">
        <f t="shared" si="1"/>
        <v>0</v>
      </c>
      <c r="DC4" s="1" t="str">
        <f t="shared" si="1"/>
        <v>0</v>
      </c>
      <c r="DD4" s="1" t="str">
        <f t="shared" si="1"/>
        <v>0</v>
      </c>
      <c r="DE4" s="1" t="str">
        <f t="shared" si="1"/>
        <v>0</v>
      </c>
      <c r="DF4" s="1" t="str">
        <f t="shared" si="1"/>
        <v>0</v>
      </c>
      <c r="DG4" s="1" t="str">
        <f t="shared" si="1"/>
        <v>0</v>
      </c>
      <c r="DH4" s="1" t="str">
        <f t="shared" si="1"/>
        <v>0</v>
      </c>
      <c r="DI4" s="1" t="str">
        <f t="shared" si="1"/>
        <v>0</v>
      </c>
      <c r="DJ4" s="1" t="str">
        <f t="shared" si="1"/>
        <v>1</v>
      </c>
      <c r="DK4" s="1" t="str">
        <f t="shared" si="1"/>
        <v>0</v>
      </c>
      <c r="DL4" s="1" t="str">
        <f t="shared" si="1"/>
        <v>0</v>
      </c>
      <c r="DM4" s="1" t="str">
        <f t="shared" si="1"/>
        <v>0</v>
      </c>
      <c r="DN4" s="1" t="str">
        <f t="shared" si="1"/>
        <v>0</v>
      </c>
      <c r="DO4" s="1" t="str">
        <f t="shared" si="1"/>
        <v>0</v>
      </c>
      <c r="DP4" s="1" t="str">
        <f t="shared" si="1"/>
        <v>0</v>
      </c>
      <c r="DQ4" s="1" t="str">
        <f t="shared" si="1"/>
        <v>0</v>
      </c>
      <c r="DR4" s="1" t="str">
        <f t="shared" si="1"/>
        <v>0</v>
      </c>
      <c r="DS4" s="1" t="str">
        <f t="shared" si="1"/>
        <v>0</v>
      </c>
      <c r="DT4" s="1" t="str">
        <f t="shared" si="1"/>
        <v>0</v>
      </c>
      <c r="DU4" s="1" t="str">
        <f t="shared" si="1"/>
        <v>0</v>
      </c>
      <c r="DV4" s="1" t="str">
        <f t="shared" si="1"/>
        <v>0</v>
      </c>
      <c r="DW4" s="1" t="str">
        <f t="shared" si="1"/>
        <v>0</v>
      </c>
      <c r="DX4" s="1" t="str">
        <f t="shared" si="1"/>
        <v>0</v>
      </c>
      <c r="DY4" s="1" t="str">
        <f t="shared" si="1"/>
        <v>0</v>
      </c>
      <c r="DZ4" s="1" t="str">
        <f t="shared" si="1"/>
        <v>0</v>
      </c>
      <c r="EB4" s="1">
        <f>IF(B4=BO4,0,1)</f>
        <v>0</v>
      </c>
      <c r="EC4" s="1">
        <f>IF(C4=BP4,0,1)</f>
        <v>0</v>
      </c>
      <c r="ED4" s="1">
        <f t="shared" ref="ED4:GM4" si="2">IF(D4=BQ4,0,1)</f>
        <v>0</v>
      </c>
      <c r="EE4" s="1">
        <f t="shared" si="2"/>
        <v>0</v>
      </c>
      <c r="EF4" s="1">
        <f t="shared" si="2"/>
        <v>0</v>
      </c>
      <c r="EG4" s="1">
        <f t="shared" si="2"/>
        <v>0</v>
      </c>
      <c r="EH4" s="1">
        <f t="shared" si="2"/>
        <v>0</v>
      </c>
      <c r="EI4" s="1">
        <f t="shared" si="2"/>
        <v>0</v>
      </c>
      <c r="EJ4" s="1">
        <f t="shared" si="2"/>
        <v>0</v>
      </c>
      <c r="EK4" s="1">
        <f t="shared" si="2"/>
        <v>0</v>
      </c>
      <c r="EL4" s="1">
        <f t="shared" si="2"/>
        <v>0</v>
      </c>
      <c r="EM4" s="1">
        <f t="shared" si="2"/>
        <v>0</v>
      </c>
      <c r="EN4" s="1">
        <f t="shared" si="2"/>
        <v>0</v>
      </c>
      <c r="EO4" s="1">
        <f t="shared" si="2"/>
        <v>0</v>
      </c>
      <c r="EP4" s="1">
        <f t="shared" si="2"/>
        <v>0</v>
      </c>
      <c r="EQ4" s="1">
        <f t="shared" si="2"/>
        <v>0</v>
      </c>
      <c r="ER4" s="1">
        <f t="shared" si="2"/>
        <v>0</v>
      </c>
      <c r="ES4" s="1">
        <f t="shared" si="2"/>
        <v>0</v>
      </c>
      <c r="ET4" s="1">
        <f t="shared" si="2"/>
        <v>0</v>
      </c>
      <c r="EU4" s="1">
        <f t="shared" si="2"/>
        <v>0</v>
      </c>
      <c r="EV4" s="1">
        <f t="shared" si="2"/>
        <v>0</v>
      </c>
      <c r="EW4" s="1">
        <f t="shared" si="2"/>
        <v>0</v>
      </c>
      <c r="EX4" s="1">
        <f t="shared" si="2"/>
        <v>0</v>
      </c>
      <c r="EY4" s="1">
        <f t="shared" si="2"/>
        <v>0</v>
      </c>
      <c r="EZ4" s="1">
        <f t="shared" si="2"/>
        <v>0</v>
      </c>
      <c r="FA4" s="1">
        <f t="shared" si="2"/>
        <v>0</v>
      </c>
      <c r="FB4" s="1">
        <f t="shared" si="2"/>
        <v>0</v>
      </c>
      <c r="FC4" s="1">
        <f t="shared" si="2"/>
        <v>0</v>
      </c>
      <c r="FD4" s="1">
        <f t="shared" si="2"/>
        <v>0</v>
      </c>
      <c r="FE4" s="1">
        <f t="shared" si="2"/>
        <v>0</v>
      </c>
      <c r="FF4" s="1">
        <f t="shared" si="2"/>
        <v>0</v>
      </c>
      <c r="FG4" s="1">
        <f t="shared" si="2"/>
        <v>0</v>
      </c>
      <c r="FH4" s="1">
        <f t="shared" si="2"/>
        <v>0</v>
      </c>
      <c r="FI4" s="1">
        <f t="shared" si="2"/>
        <v>0</v>
      </c>
      <c r="FJ4" s="1">
        <f t="shared" si="2"/>
        <v>0</v>
      </c>
      <c r="FK4" s="1">
        <f t="shared" si="2"/>
        <v>0</v>
      </c>
      <c r="FL4" s="1">
        <f t="shared" si="2"/>
        <v>0</v>
      </c>
      <c r="FM4" s="1">
        <f t="shared" si="2"/>
        <v>0</v>
      </c>
      <c r="FN4" s="1">
        <f t="shared" si="2"/>
        <v>0</v>
      </c>
      <c r="FO4" s="1">
        <f t="shared" si="2"/>
        <v>0</v>
      </c>
      <c r="FP4" s="1">
        <f t="shared" si="2"/>
        <v>0</v>
      </c>
      <c r="FQ4" s="1">
        <f t="shared" si="2"/>
        <v>0</v>
      </c>
      <c r="FR4" s="1">
        <f t="shared" si="2"/>
        <v>0</v>
      </c>
      <c r="FS4" s="1">
        <f t="shared" si="2"/>
        <v>0</v>
      </c>
      <c r="FT4" s="1">
        <f t="shared" si="2"/>
        <v>0</v>
      </c>
      <c r="FU4" s="1">
        <f t="shared" si="2"/>
        <v>0</v>
      </c>
      <c r="FV4" s="1">
        <f t="shared" si="2"/>
        <v>0</v>
      </c>
      <c r="FW4" s="1">
        <f t="shared" si="2"/>
        <v>1</v>
      </c>
      <c r="FX4" s="1">
        <f t="shared" si="2"/>
        <v>0</v>
      </c>
      <c r="FY4" s="1">
        <f t="shared" si="2"/>
        <v>0</v>
      </c>
      <c r="FZ4" s="1">
        <f t="shared" si="2"/>
        <v>0</v>
      </c>
      <c r="GA4" s="1">
        <f t="shared" si="2"/>
        <v>0</v>
      </c>
      <c r="GB4" s="1">
        <f t="shared" si="2"/>
        <v>0</v>
      </c>
      <c r="GC4" s="1">
        <f t="shared" si="2"/>
        <v>0</v>
      </c>
      <c r="GD4" s="1">
        <f t="shared" si="2"/>
        <v>0</v>
      </c>
      <c r="GE4" s="1">
        <f t="shared" si="2"/>
        <v>0</v>
      </c>
      <c r="GF4" s="1">
        <f t="shared" si="2"/>
        <v>0</v>
      </c>
      <c r="GG4" s="1">
        <f t="shared" si="2"/>
        <v>0</v>
      </c>
      <c r="GH4" s="1">
        <f t="shared" si="2"/>
        <v>0</v>
      </c>
      <c r="GI4" s="1">
        <f t="shared" si="2"/>
        <v>0</v>
      </c>
      <c r="GJ4" s="1">
        <f t="shared" si="2"/>
        <v>0</v>
      </c>
      <c r="GK4" s="1">
        <f t="shared" si="2"/>
        <v>0</v>
      </c>
      <c r="GL4" s="1">
        <f t="shared" si="2"/>
        <v>0</v>
      </c>
      <c r="GM4" s="1">
        <f t="shared" si="2"/>
        <v>0</v>
      </c>
      <c r="GO4" s="27">
        <f>SUM(EB4:GM4)</f>
        <v>1</v>
      </c>
      <c r="GT4" s="3">
        <v>1</v>
      </c>
      <c r="GU4" s="5" t="s">
        <v>67</v>
      </c>
      <c r="GV4" s="5"/>
      <c r="GW4" s="28" t="s">
        <v>68</v>
      </c>
    </row>
    <row r="5" spans="1:205">
      <c r="A5" s="2">
        <v>1</v>
      </c>
      <c r="B5" t="str">
        <f>VLOOKUP(A5,MESSAGE,2,FALSE)</f>
        <v>1011011110100101010001111110101000000001000000000000000000000000</v>
      </c>
      <c r="BO5" t="str">
        <f>VLOOKUP(A5,MESSAGE, 4,FALSE)</f>
        <v>1011011110100100010001111110101000000001000000000000000000000000</v>
      </c>
      <c r="GT5" s="3">
        <v>2</v>
      </c>
      <c r="GU5" s="5" t="s">
        <v>69</v>
      </c>
      <c r="GV5" s="5"/>
      <c r="GW5" s="28" t="s">
        <v>70</v>
      </c>
    </row>
    <row r="6" spans="1:205">
      <c r="A6" s="2"/>
      <c r="B6" s="1" t="str">
        <f>MID($B5,B$1,1)</f>
        <v>1</v>
      </c>
      <c r="C6" s="1" t="str">
        <f t="shared" ref="C6" si="3">MID($B5,C$1,1)</f>
        <v>0</v>
      </c>
      <c r="D6" s="1" t="str">
        <f t="shared" ref="D6" si="4">MID($B5,D$1,1)</f>
        <v>1</v>
      </c>
      <c r="E6" s="1" t="str">
        <f t="shared" ref="E6" si="5">MID($B5,E$1,1)</f>
        <v>1</v>
      </c>
      <c r="F6" s="1" t="str">
        <f t="shared" ref="F6" si="6">MID($B5,F$1,1)</f>
        <v>0</v>
      </c>
      <c r="G6" s="1" t="str">
        <f t="shared" ref="G6" si="7">MID($B5,G$1,1)</f>
        <v>1</v>
      </c>
      <c r="H6" s="1" t="str">
        <f t="shared" ref="H6" si="8">MID($B5,H$1,1)</f>
        <v>1</v>
      </c>
      <c r="I6" s="1" t="str">
        <f t="shared" ref="I6" si="9">MID($B5,I$1,1)</f>
        <v>1</v>
      </c>
      <c r="J6" s="1" t="str">
        <f t="shared" ref="J6" si="10">MID($B5,J$1,1)</f>
        <v>1</v>
      </c>
      <c r="K6" s="1" t="str">
        <f t="shared" ref="K6" si="11">MID($B5,K$1,1)</f>
        <v>0</v>
      </c>
      <c r="L6" s="1" t="str">
        <f t="shared" ref="L6" si="12">MID($B5,L$1,1)</f>
        <v>1</v>
      </c>
      <c r="M6" s="1" t="str">
        <f t="shared" ref="M6" si="13">MID($B5,M$1,1)</f>
        <v>0</v>
      </c>
      <c r="N6" s="1" t="str">
        <f t="shared" ref="N6" si="14">MID($B5,N$1,1)</f>
        <v>0</v>
      </c>
      <c r="O6" s="1" t="str">
        <f t="shared" ref="O6" si="15">MID($B5,O$1,1)</f>
        <v>1</v>
      </c>
      <c r="P6" s="1" t="str">
        <f t="shared" ref="P6" si="16">MID($B5,P$1,1)</f>
        <v>0</v>
      </c>
      <c r="Q6" s="1" t="str">
        <f t="shared" ref="Q6" si="17">MID($B5,Q$1,1)</f>
        <v>1</v>
      </c>
      <c r="R6" s="1" t="str">
        <f t="shared" ref="R6" si="18">MID($B5,R$1,1)</f>
        <v>0</v>
      </c>
      <c r="S6" s="1" t="str">
        <f t="shared" ref="S6" si="19">MID($B5,S$1,1)</f>
        <v>1</v>
      </c>
      <c r="T6" s="1" t="str">
        <f t="shared" ref="T6" si="20">MID($B5,T$1,1)</f>
        <v>0</v>
      </c>
      <c r="U6" s="1" t="str">
        <f t="shared" ref="U6" si="21">MID($B5,U$1,1)</f>
        <v>0</v>
      </c>
      <c r="V6" s="1" t="str">
        <f t="shared" ref="V6" si="22">MID($B5,V$1,1)</f>
        <v>0</v>
      </c>
      <c r="W6" s="1" t="str">
        <f t="shared" ref="W6" si="23">MID($B5,W$1,1)</f>
        <v>1</v>
      </c>
      <c r="X6" s="1" t="str">
        <f t="shared" ref="X6" si="24">MID($B5,X$1,1)</f>
        <v>1</v>
      </c>
      <c r="Y6" s="1" t="str">
        <f t="shared" ref="Y6" si="25">MID($B5,Y$1,1)</f>
        <v>1</v>
      </c>
      <c r="Z6" s="1" t="str">
        <f t="shared" ref="Z6" si="26">MID($B5,Z$1,1)</f>
        <v>1</v>
      </c>
      <c r="AA6" s="1" t="str">
        <f t="shared" ref="AA6" si="27">MID($B5,AA$1,1)</f>
        <v>1</v>
      </c>
      <c r="AB6" s="1" t="str">
        <f t="shared" ref="AB6" si="28">MID($B5,AB$1,1)</f>
        <v>1</v>
      </c>
      <c r="AC6" s="1" t="str">
        <f t="shared" ref="AC6" si="29">MID($B5,AC$1,1)</f>
        <v>0</v>
      </c>
      <c r="AD6" s="1" t="str">
        <f t="shared" ref="AD6" si="30">MID($B5,AD$1,1)</f>
        <v>1</v>
      </c>
      <c r="AE6" s="1" t="str">
        <f t="shared" ref="AE6" si="31">MID($B5,AE$1,1)</f>
        <v>0</v>
      </c>
      <c r="AF6" s="1" t="str">
        <f t="shared" ref="AF6" si="32">MID($B5,AF$1,1)</f>
        <v>1</v>
      </c>
      <c r="AG6" s="1" t="str">
        <f t="shared" ref="AG6" si="33">MID($B5,AG$1,1)</f>
        <v>0</v>
      </c>
      <c r="AH6" s="1" t="str">
        <f t="shared" ref="AH6" si="34">MID($B5,AH$1,1)</f>
        <v>0</v>
      </c>
      <c r="AI6" s="1" t="str">
        <f t="shared" ref="AI6" si="35">MID($B5,AI$1,1)</f>
        <v>0</v>
      </c>
      <c r="AJ6" s="1" t="str">
        <f t="shared" ref="AJ6" si="36">MID($B5,AJ$1,1)</f>
        <v>0</v>
      </c>
      <c r="AK6" s="1" t="str">
        <f t="shared" ref="AK6" si="37">MID($B5,AK$1,1)</f>
        <v>0</v>
      </c>
      <c r="AL6" s="1" t="str">
        <f t="shared" ref="AL6" si="38">MID($B5,AL$1,1)</f>
        <v>0</v>
      </c>
      <c r="AM6" s="1" t="str">
        <f t="shared" ref="AM6" si="39">MID($B5,AM$1,1)</f>
        <v>0</v>
      </c>
      <c r="AN6" s="1" t="str">
        <f t="shared" ref="AN6" si="40">MID($B5,AN$1,1)</f>
        <v>0</v>
      </c>
      <c r="AO6" s="1" t="str">
        <f t="shared" ref="AO6" si="41">MID($B5,AO$1,1)</f>
        <v>1</v>
      </c>
      <c r="AP6" s="1" t="str">
        <f t="shared" ref="AP6" si="42">MID($B5,AP$1,1)</f>
        <v>0</v>
      </c>
      <c r="AQ6" s="1" t="str">
        <f t="shared" ref="AQ6" si="43">MID($B5,AQ$1,1)</f>
        <v>0</v>
      </c>
      <c r="AR6" s="1" t="str">
        <f t="shared" ref="AR6" si="44">MID($B5,AR$1,1)</f>
        <v>0</v>
      </c>
      <c r="AS6" s="1" t="str">
        <f t="shared" ref="AS6" si="45">MID($B5,AS$1,1)</f>
        <v>0</v>
      </c>
      <c r="AT6" s="1" t="str">
        <f t="shared" ref="AT6" si="46">MID($B5,AT$1,1)</f>
        <v>0</v>
      </c>
      <c r="AU6" s="1" t="str">
        <f t="shared" ref="AU6" si="47">MID($B5,AU$1,1)</f>
        <v>0</v>
      </c>
      <c r="AV6" s="1" t="str">
        <f t="shared" ref="AV6" si="48">MID($B5,AV$1,1)</f>
        <v>0</v>
      </c>
      <c r="AW6" s="1" t="str">
        <f t="shared" ref="AW6" si="49">MID($B5,AW$1,1)</f>
        <v>0</v>
      </c>
      <c r="AX6" s="1" t="str">
        <f t="shared" ref="AX6" si="50">MID($B5,AX$1,1)</f>
        <v>0</v>
      </c>
      <c r="AY6" s="1" t="str">
        <f t="shared" ref="AY6" si="51">MID($B5,AY$1,1)</f>
        <v>0</v>
      </c>
      <c r="AZ6" s="1" t="str">
        <f t="shared" ref="AZ6" si="52">MID($B5,AZ$1,1)</f>
        <v>0</v>
      </c>
      <c r="BA6" s="1" t="str">
        <f t="shared" ref="BA6" si="53">MID($B5,BA$1,1)</f>
        <v>0</v>
      </c>
      <c r="BB6" s="1" t="str">
        <f t="shared" ref="BB6" si="54">MID($B5,BB$1,1)</f>
        <v>0</v>
      </c>
      <c r="BC6" s="1" t="str">
        <f t="shared" ref="BC6" si="55">MID($B5,BC$1,1)</f>
        <v>0</v>
      </c>
      <c r="BD6" s="1" t="str">
        <f t="shared" ref="BD6" si="56">MID($B5,BD$1,1)</f>
        <v>0</v>
      </c>
      <c r="BE6" s="1" t="str">
        <f t="shared" ref="BE6" si="57">MID($B5,BE$1,1)</f>
        <v>0</v>
      </c>
      <c r="BF6" s="1" t="str">
        <f t="shared" ref="BF6" si="58">MID($B5,BF$1,1)</f>
        <v>0</v>
      </c>
      <c r="BG6" s="1" t="str">
        <f t="shared" ref="BG6" si="59">MID($B5,BG$1,1)</f>
        <v>0</v>
      </c>
      <c r="BH6" s="1" t="str">
        <f t="shared" ref="BH6" si="60">MID($B5,BH$1,1)</f>
        <v>0</v>
      </c>
      <c r="BI6" s="1" t="str">
        <f t="shared" ref="BI6" si="61">MID($B5,BI$1,1)</f>
        <v>0</v>
      </c>
      <c r="BJ6" s="1" t="str">
        <f t="shared" ref="BJ6" si="62">MID($B5,BJ$1,1)</f>
        <v>0</v>
      </c>
      <c r="BK6" s="1" t="str">
        <f t="shared" ref="BK6" si="63">MID($B5,BK$1,1)</f>
        <v>0</v>
      </c>
      <c r="BL6" s="1" t="str">
        <f t="shared" ref="BL6" si="64">MID($B5,BL$1,1)</f>
        <v>0</v>
      </c>
      <c r="BM6" s="1" t="str">
        <f t="shared" ref="BM6" si="65">MID($B5,BM$1,1)</f>
        <v>0</v>
      </c>
      <c r="BN6" s="1"/>
      <c r="BO6" s="1" t="str">
        <f>MID($BO5,BO$1,1)</f>
        <v>1</v>
      </c>
      <c r="BP6" s="1" t="str">
        <f t="shared" ref="BP6" si="66">MID($BO5,BP$1,1)</f>
        <v>0</v>
      </c>
      <c r="BQ6" s="1" t="str">
        <f t="shared" ref="BQ6" si="67">MID($BO5,BQ$1,1)</f>
        <v>1</v>
      </c>
      <c r="BR6" s="1" t="str">
        <f t="shared" ref="BR6" si="68">MID($BO5,BR$1,1)</f>
        <v>1</v>
      </c>
      <c r="BS6" s="1" t="str">
        <f t="shared" ref="BS6" si="69">MID($BO5,BS$1,1)</f>
        <v>0</v>
      </c>
      <c r="BT6" s="1" t="str">
        <f t="shared" ref="BT6" si="70">MID($BO5,BT$1,1)</f>
        <v>1</v>
      </c>
      <c r="BU6" s="1" t="str">
        <f t="shared" ref="BU6" si="71">MID($BO5,BU$1,1)</f>
        <v>1</v>
      </c>
      <c r="BV6" s="1" t="str">
        <f t="shared" ref="BV6" si="72">MID($BO5,BV$1,1)</f>
        <v>1</v>
      </c>
      <c r="BW6" s="1" t="str">
        <f t="shared" ref="BW6" si="73">MID($BO5,BW$1,1)</f>
        <v>1</v>
      </c>
      <c r="BX6" s="1" t="str">
        <f t="shared" ref="BX6" si="74">MID($BO5,BX$1,1)</f>
        <v>0</v>
      </c>
      <c r="BY6" s="1" t="str">
        <f t="shared" ref="BY6" si="75">MID($BO5,BY$1,1)</f>
        <v>1</v>
      </c>
      <c r="BZ6" s="1" t="str">
        <f t="shared" ref="BZ6" si="76">MID($BO5,BZ$1,1)</f>
        <v>0</v>
      </c>
      <c r="CA6" s="1" t="str">
        <f t="shared" ref="CA6" si="77">MID($BO5,CA$1,1)</f>
        <v>0</v>
      </c>
      <c r="CB6" s="1" t="str">
        <f t="shared" ref="CB6" si="78">MID($BO5,CB$1,1)</f>
        <v>1</v>
      </c>
      <c r="CC6" s="1" t="str">
        <f t="shared" ref="CC6" si="79">MID($BO5,CC$1,1)</f>
        <v>0</v>
      </c>
      <c r="CD6" s="1" t="str">
        <f t="shared" ref="CD6" si="80">MID($BO5,CD$1,1)</f>
        <v>0</v>
      </c>
      <c r="CE6" s="1" t="str">
        <f t="shared" ref="CE6" si="81">MID($BO5,CE$1,1)</f>
        <v>0</v>
      </c>
      <c r="CF6" s="1" t="str">
        <f t="shared" ref="CF6" si="82">MID($BO5,CF$1,1)</f>
        <v>1</v>
      </c>
      <c r="CG6" s="1" t="str">
        <f t="shared" ref="CG6" si="83">MID($BO5,CG$1,1)</f>
        <v>0</v>
      </c>
      <c r="CH6" s="1" t="str">
        <f t="shared" ref="CH6" si="84">MID($BO5,CH$1,1)</f>
        <v>0</v>
      </c>
      <c r="CI6" s="1" t="str">
        <f t="shared" ref="CI6" si="85">MID($BO5,CI$1,1)</f>
        <v>0</v>
      </c>
      <c r="CJ6" s="1" t="str">
        <f t="shared" ref="CJ6" si="86">MID($BO5,CJ$1,1)</f>
        <v>1</v>
      </c>
      <c r="CK6" s="1" t="str">
        <f t="shared" ref="CK6" si="87">MID($BO5,CK$1,1)</f>
        <v>1</v>
      </c>
      <c r="CL6" s="1" t="str">
        <f t="shared" ref="CL6" si="88">MID($BO5,CL$1,1)</f>
        <v>1</v>
      </c>
      <c r="CM6" s="1" t="str">
        <f t="shared" ref="CM6" si="89">MID($BO5,CM$1,1)</f>
        <v>1</v>
      </c>
      <c r="CN6" s="1" t="str">
        <f t="shared" ref="CN6" si="90">MID($BO5,CN$1,1)</f>
        <v>1</v>
      </c>
      <c r="CO6" s="1" t="str">
        <f t="shared" ref="CO6" si="91">MID($BO5,CO$1,1)</f>
        <v>1</v>
      </c>
      <c r="CP6" s="1" t="str">
        <f t="shared" ref="CP6" si="92">MID($BO5,CP$1,1)</f>
        <v>0</v>
      </c>
      <c r="CQ6" s="1" t="str">
        <f t="shared" ref="CQ6" si="93">MID($BO5,CQ$1,1)</f>
        <v>1</v>
      </c>
      <c r="CR6" s="1" t="str">
        <f t="shared" ref="CR6" si="94">MID($BO5,CR$1,1)</f>
        <v>0</v>
      </c>
      <c r="CS6" s="1" t="str">
        <f t="shared" ref="CS6" si="95">MID($BO5,CS$1,1)</f>
        <v>1</v>
      </c>
      <c r="CT6" s="1" t="str">
        <f t="shared" ref="CT6" si="96">MID($BO5,CT$1,1)</f>
        <v>0</v>
      </c>
      <c r="CU6" s="1" t="str">
        <f t="shared" ref="CU6" si="97">MID($BO5,CU$1,1)</f>
        <v>0</v>
      </c>
      <c r="CV6" s="1" t="str">
        <f t="shared" ref="CV6" si="98">MID($BO5,CV$1,1)</f>
        <v>0</v>
      </c>
      <c r="CW6" s="1" t="str">
        <f t="shared" ref="CW6" si="99">MID($BO5,CW$1,1)</f>
        <v>0</v>
      </c>
      <c r="CX6" s="1" t="str">
        <f t="shared" ref="CX6" si="100">MID($BO5,CX$1,1)</f>
        <v>0</v>
      </c>
      <c r="CY6" s="1" t="str">
        <f t="shared" ref="CY6" si="101">MID($BO5,CY$1,1)</f>
        <v>0</v>
      </c>
      <c r="CZ6" s="1" t="str">
        <f t="shared" ref="CZ6" si="102">MID($BO5,CZ$1,1)</f>
        <v>0</v>
      </c>
      <c r="DA6" s="1" t="str">
        <f t="shared" ref="DA6" si="103">MID($BO5,DA$1,1)</f>
        <v>0</v>
      </c>
      <c r="DB6" s="1" t="str">
        <f t="shared" ref="DB6" si="104">MID($BO5,DB$1,1)</f>
        <v>1</v>
      </c>
      <c r="DC6" s="1" t="str">
        <f t="shared" ref="DC6" si="105">MID($BO5,DC$1,1)</f>
        <v>0</v>
      </c>
      <c r="DD6" s="1" t="str">
        <f t="shared" ref="DD6" si="106">MID($BO5,DD$1,1)</f>
        <v>0</v>
      </c>
      <c r="DE6" s="1" t="str">
        <f t="shared" ref="DE6" si="107">MID($BO5,DE$1,1)</f>
        <v>0</v>
      </c>
      <c r="DF6" s="1" t="str">
        <f t="shared" ref="DF6" si="108">MID($BO5,DF$1,1)</f>
        <v>0</v>
      </c>
      <c r="DG6" s="1" t="str">
        <f t="shared" ref="DG6" si="109">MID($BO5,DG$1,1)</f>
        <v>0</v>
      </c>
      <c r="DH6" s="1" t="str">
        <f t="shared" ref="DH6" si="110">MID($BO5,DH$1,1)</f>
        <v>0</v>
      </c>
      <c r="DI6" s="1" t="str">
        <f t="shared" ref="DI6" si="111">MID($BO5,DI$1,1)</f>
        <v>0</v>
      </c>
      <c r="DJ6" s="1" t="str">
        <f t="shared" ref="DJ6" si="112">MID($BO5,DJ$1,1)</f>
        <v>0</v>
      </c>
      <c r="DK6" s="1" t="str">
        <f t="shared" ref="DK6" si="113">MID($BO5,DK$1,1)</f>
        <v>0</v>
      </c>
      <c r="DL6" s="1" t="str">
        <f t="shared" ref="DL6" si="114">MID($BO5,DL$1,1)</f>
        <v>0</v>
      </c>
      <c r="DM6" s="1" t="str">
        <f t="shared" ref="DM6" si="115">MID($BO5,DM$1,1)</f>
        <v>0</v>
      </c>
      <c r="DN6" s="1" t="str">
        <f t="shared" ref="DN6" si="116">MID($BO5,DN$1,1)</f>
        <v>0</v>
      </c>
      <c r="DO6" s="1" t="str">
        <f t="shared" ref="DO6" si="117">MID($BO5,DO$1,1)</f>
        <v>0</v>
      </c>
      <c r="DP6" s="1" t="str">
        <f t="shared" ref="DP6" si="118">MID($BO5,DP$1,1)</f>
        <v>0</v>
      </c>
      <c r="DQ6" s="1" t="str">
        <f t="shared" ref="DQ6" si="119">MID($BO5,DQ$1,1)</f>
        <v>0</v>
      </c>
      <c r="DR6" s="1" t="str">
        <f t="shared" ref="DR6" si="120">MID($BO5,DR$1,1)</f>
        <v>0</v>
      </c>
      <c r="DS6" s="1" t="str">
        <f t="shared" ref="DS6" si="121">MID($BO5,DS$1,1)</f>
        <v>0</v>
      </c>
      <c r="DT6" s="1" t="str">
        <f t="shared" ref="DT6" si="122">MID($BO5,DT$1,1)</f>
        <v>0</v>
      </c>
      <c r="DU6" s="1" t="str">
        <f t="shared" ref="DU6" si="123">MID($BO5,DU$1,1)</f>
        <v>0</v>
      </c>
      <c r="DV6" s="1" t="str">
        <f t="shared" ref="DV6" si="124">MID($BO5,DV$1,1)</f>
        <v>0</v>
      </c>
      <c r="DW6" s="1" t="str">
        <f t="shared" ref="DW6" si="125">MID($BO5,DW$1,1)</f>
        <v>0</v>
      </c>
      <c r="DX6" s="1" t="str">
        <f t="shared" ref="DX6" si="126">MID($BO5,DX$1,1)</f>
        <v>0</v>
      </c>
      <c r="DY6" s="1" t="str">
        <f t="shared" ref="DY6" si="127">MID($BO5,DY$1,1)</f>
        <v>0</v>
      </c>
      <c r="DZ6" s="1" t="str">
        <f t="shared" ref="DZ6" si="128">MID($BO5,DZ$1,1)</f>
        <v>0</v>
      </c>
      <c r="EB6" s="1">
        <f>IF(B6=BO6,0,1)</f>
        <v>0</v>
      </c>
      <c r="EC6" s="1">
        <f>IF(C6=BP6,0,1)</f>
        <v>0</v>
      </c>
      <c r="ED6" s="1">
        <f t="shared" ref="ED6" si="129">IF(D6=BQ6,0,1)</f>
        <v>0</v>
      </c>
      <c r="EE6" s="1">
        <f t="shared" ref="EE6" si="130">IF(E6=BR6,0,1)</f>
        <v>0</v>
      </c>
      <c r="EF6" s="1">
        <f t="shared" ref="EF6" si="131">IF(F6=BS6,0,1)</f>
        <v>0</v>
      </c>
      <c r="EG6" s="1">
        <f t="shared" ref="EG6" si="132">IF(G6=BT6,0,1)</f>
        <v>0</v>
      </c>
      <c r="EH6" s="1">
        <f t="shared" ref="EH6" si="133">IF(H6=BU6,0,1)</f>
        <v>0</v>
      </c>
      <c r="EI6" s="1">
        <f t="shared" ref="EI6" si="134">IF(I6=BV6,0,1)</f>
        <v>0</v>
      </c>
      <c r="EJ6" s="1">
        <f t="shared" ref="EJ6" si="135">IF(J6=BW6,0,1)</f>
        <v>0</v>
      </c>
      <c r="EK6" s="1">
        <f t="shared" ref="EK6" si="136">IF(K6=BX6,0,1)</f>
        <v>0</v>
      </c>
      <c r="EL6" s="1">
        <f t="shared" ref="EL6" si="137">IF(L6=BY6,0,1)</f>
        <v>0</v>
      </c>
      <c r="EM6" s="1">
        <f t="shared" ref="EM6" si="138">IF(M6=BZ6,0,1)</f>
        <v>0</v>
      </c>
      <c r="EN6" s="1">
        <f t="shared" ref="EN6" si="139">IF(N6=CA6,0,1)</f>
        <v>0</v>
      </c>
      <c r="EO6" s="1">
        <f t="shared" ref="EO6" si="140">IF(O6=CB6,0,1)</f>
        <v>0</v>
      </c>
      <c r="EP6" s="1">
        <f t="shared" ref="EP6" si="141">IF(P6=CC6,0,1)</f>
        <v>0</v>
      </c>
      <c r="EQ6" s="1">
        <f t="shared" ref="EQ6" si="142">IF(Q6=CD6,0,1)</f>
        <v>1</v>
      </c>
      <c r="ER6" s="1">
        <f t="shared" ref="ER6" si="143">IF(R6=CE6,0,1)</f>
        <v>0</v>
      </c>
      <c r="ES6" s="1">
        <f t="shared" ref="ES6" si="144">IF(S6=CF6,0,1)</f>
        <v>0</v>
      </c>
      <c r="ET6" s="1">
        <f t="shared" ref="ET6" si="145">IF(T6=CG6,0,1)</f>
        <v>0</v>
      </c>
      <c r="EU6" s="1">
        <f t="shared" ref="EU6" si="146">IF(U6=CH6,0,1)</f>
        <v>0</v>
      </c>
      <c r="EV6" s="1">
        <f t="shared" ref="EV6" si="147">IF(V6=CI6,0,1)</f>
        <v>0</v>
      </c>
      <c r="EW6" s="1">
        <f t="shared" ref="EW6" si="148">IF(W6=CJ6,0,1)</f>
        <v>0</v>
      </c>
      <c r="EX6" s="1">
        <f t="shared" ref="EX6" si="149">IF(X6=CK6,0,1)</f>
        <v>0</v>
      </c>
      <c r="EY6" s="1">
        <f t="shared" ref="EY6" si="150">IF(Y6=CL6,0,1)</f>
        <v>0</v>
      </c>
      <c r="EZ6" s="1">
        <f t="shared" ref="EZ6" si="151">IF(Z6=CM6,0,1)</f>
        <v>0</v>
      </c>
      <c r="FA6" s="1">
        <f t="shared" ref="FA6" si="152">IF(AA6=CN6,0,1)</f>
        <v>0</v>
      </c>
      <c r="FB6" s="1">
        <f t="shared" ref="FB6" si="153">IF(AB6=CO6,0,1)</f>
        <v>0</v>
      </c>
      <c r="FC6" s="1">
        <f t="shared" ref="FC6" si="154">IF(AC6=CP6,0,1)</f>
        <v>0</v>
      </c>
      <c r="FD6" s="1">
        <f t="shared" ref="FD6" si="155">IF(AD6=CQ6,0,1)</f>
        <v>0</v>
      </c>
      <c r="FE6" s="1">
        <f t="shared" ref="FE6" si="156">IF(AE6=CR6,0,1)</f>
        <v>0</v>
      </c>
      <c r="FF6" s="1">
        <f t="shared" ref="FF6" si="157">IF(AF6=CS6,0,1)</f>
        <v>0</v>
      </c>
      <c r="FG6" s="1">
        <f t="shared" ref="FG6" si="158">IF(AG6=CT6,0,1)</f>
        <v>0</v>
      </c>
      <c r="FH6" s="1">
        <f t="shared" ref="FH6" si="159">IF(AH6=CU6,0,1)</f>
        <v>0</v>
      </c>
      <c r="FI6" s="1">
        <f t="shared" ref="FI6" si="160">IF(AI6=CV6,0,1)</f>
        <v>0</v>
      </c>
      <c r="FJ6" s="1">
        <f t="shared" ref="FJ6" si="161">IF(AJ6=CW6,0,1)</f>
        <v>0</v>
      </c>
      <c r="FK6" s="1">
        <f t="shared" ref="FK6" si="162">IF(AK6=CX6,0,1)</f>
        <v>0</v>
      </c>
      <c r="FL6" s="1">
        <f t="shared" ref="FL6" si="163">IF(AL6=CY6,0,1)</f>
        <v>0</v>
      </c>
      <c r="FM6" s="1">
        <f t="shared" ref="FM6" si="164">IF(AM6=CZ6,0,1)</f>
        <v>0</v>
      </c>
      <c r="FN6" s="1">
        <f t="shared" ref="FN6" si="165">IF(AN6=DA6,0,1)</f>
        <v>0</v>
      </c>
      <c r="FO6" s="1">
        <f t="shared" ref="FO6" si="166">IF(AO6=DB6,0,1)</f>
        <v>0</v>
      </c>
      <c r="FP6" s="1">
        <f t="shared" ref="FP6" si="167">IF(AP6=DC6,0,1)</f>
        <v>0</v>
      </c>
      <c r="FQ6" s="1">
        <f t="shared" ref="FQ6" si="168">IF(AQ6=DD6,0,1)</f>
        <v>0</v>
      </c>
      <c r="FR6" s="1">
        <f t="shared" ref="FR6" si="169">IF(AR6=DE6,0,1)</f>
        <v>0</v>
      </c>
      <c r="FS6" s="1">
        <f t="shared" ref="FS6" si="170">IF(AS6=DF6,0,1)</f>
        <v>0</v>
      </c>
      <c r="FT6" s="1">
        <f t="shared" ref="FT6" si="171">IF(AT6=DG6,0,1)</f>
        <v>0</v>
      </c>
      <c r="FU6" s="1">
        <f t="shared" ref="FU6" si="172">IF(AU6=DH6,0,1)</f>
        <v>0</v>
      </c>
      <c r="FV6" s="1">
        <f t="shared" ref="FV6" si="173">IF(AV6=DI6,0,1)</f>
        <v>0</v>
      </c>
      <c r="FW6" s="1">
        <f t="shared" ref="FW6" si="174">IF(AW6=DJ6,0,1)</f>
        <v>0</v>
      </c>
      <c r="FX6" s="1">
        <f t="shared" ref="FX6" si="175">IF(AX6=DK6,0,1)</f>
        <v>0</v>
      </c>
      <c r="FY6" s="1">
        <f t="shared" ref="FY6" si="176">IF(AY6=DL6,0,1)</f>
        <v>0</v>
      </c>
      <c r="FZ6" s="1">
        <f t="shared" ref="FZ6" si="177">IF(AZ6=DM6,0,1)</f>
        <v>0</v>
      </c>
      <c r="GA6" s="1">
        <f t="shared" ref="GA6" si="178">IF(BA6=DN6,0,1)</f>
        <v>0</v>
      </c>
      <c r="GB6" s="1">
        <f t="shared" ref="GB6" si="179">IF(BB6=DO6,0,1)</f>
        <v>0</v>
      </c>
      <c r="GC6" s="1">
        <f t="shared" ref="GC6" si="180">IF(BC6=DP6,0,1)</f>
        <v>0</v>
      </c>
      <c r="GD6" s="1">
        <f t="shared" ref="GD6" si="181">IF(BD6=DQ6,0,1)</f>
        <v>0</v>
      </c>
      <c r="GE6" s="1">
        <f t="shared" ref="GE6" si="182">IF(BE6=DR6,0,1)</f>
        <v>0</v>
      </c>
      <c r="GF6" s="1">
        <f t="shared" ref="GF6" si="183">IF(BF6=DS6,0,1)</f>
        <v>0</v>
      </c>
      <c r="GG6" s="1">
        <f t="shared" ref="GG6" si="184">IF(BG6=DT6,0,1)</f>
        <v>0</v>
      </c>
      <c r="GH6" s="1">
        <f t="shared" ref="GH6" si="185">IF(BH6=DU6,0,1)</f>
        <v>0</v>
      </c>
      <c r="GI6" s="1">
        <f t="shared" ref="GI6" si="186">IF(BI6=DV6,0,1)</f>
        <v>0</v>
      </c>
      <c r="GJ6" s="1">
        <f t="shared" ref="GJ6" si="187">IF(BJ6=DW6,0,1)</f>
        <v>0</v>
      </c>
      <c r="GK6" s="1">
        <f t="shared" ref="GK6" si="188">IF(BK6=DX6,0,1)</f>
        <v>0</v>
      </c>
      <c r="GL6" s="1">
        <f t="shared" ref="GL6" si="189">IF(BL6=DY6,0,1)</f>
        <v>0</v>
      </c>
      <c r="GM6" s="1">
        <f t="shared" ref="GM6" si="190">IF(BM6=DZ6,0,1)</f>
        <v>0</v>
      </c>
      <c r="GO6" s="27">
        <f>SUM(EB6:GM6)</f>
        <v>1</v>
      </c>
      <c r="GT6" s="3">
        <v>3</v>
      </c>
      <c r="GU6" s="5" t="s">
        <v>71</v>
      </c>
      <c r="GV6" s="5"/>
      <c r="GW6" s="28" t="s">
        <v>72</v>
      </c>
    </row>
    <row r="7" spans="1:205">
      <c r="A7" s="2">
        <v>2</v>
      </c>
      <c r="B7" t="str">
        <f>VLOOKUP(A7,MESSAGE,2,FALSE)</f>
        <v>0101010101111101101000001001110010110111101001010100011111101010</v>
      </c>
      <c r="BO7" t="str">
        <f>VLOOKUP(A7,MESSAGE, 4,FALSE)</f>
        <v>1111010100111101101100000001110010110111101001000100011111101010</v>
      </c>
      <c r="GT7" s="3">
        <v>4</v>
      </c>
      <c r="GU7" s="5" t="s">
        <v>73</v>
      </c>
      <c r="GV7" s="5"/>
      <c r="GW7" s="28" t="s">
        <v>74</v>
      </c>
    </row>
    <row r="8" spans="1:205">
      <c r="A8" s="2"/>
      <c r="B8" s="1" t="str">
        <f>MID($B7,B$1,1)</f>
        <v>0</v>
      </c>
      <c r="C8" s="1" t="str">
        <f t="shared" ref="C8" si="191">MID($B7,C$1,1)</f>
        <v>1</v>
      </c>
      <c r="D8" s="1" t="str">
        <f t="shared" ref="D8" si="192">MID($B7,D$1,1)</f>
        <v>0</v>
      </c>
      <c r="E8" s="1" t="str">
        <f t="shared" ref="E8" si="193">MID($B7,E$1,1)</f>
        <v>1</v>
      </c>
      <c r="F8" s="1" t="str">
        <f t="shared" ref="F8" si="194">MID($B7,F$1,1)</f>
        <v>0</v>
      </c>
      <c r="G8" s="1" t="str">
        <f t="shared" ref="G8" si="195">MID($B7,G$1,1)</f>
        <v>1</v>
      </c>
      <c r="H8" s="1" t="str">
        <f t="shared" ref="H8" si="196">MID($B7,H$1,1)</f>
        <v>0</v>
      </c>
      <c r="I8" s="1" t="str">
        <f t="shared" ref="I8" si="197">MID($B7,I$1,1)</f>
        <v>1</v>
      </c>
      <c r="J8" s="1" t="str">
        <f t="shared" ref="J8" si="198">MID($B7,J$1,1)</f>
        <v>0</v>
      </c>
      <c r="K8" s="1" t="str">
        <f t="shared" ref="K8" si="199">MID($B7,K$1,1)</f>
        <v>1</v>
      </c>
      <c r="L8" s="1" t="str">
        <f t="shared" ref="L8" si="200">MID($B7,L$1,1)</f>
        <v>1</v>
      </c>
      <c r="M8" s="1" t="str">
        <f t="shared" ref="M8" si="201">MID($B7,M$1,1)</f>
        <v>1</v>
      </c>
      <c r="N8" s="1" t="str">
        <f t="shared" ref="N8" si="202">MID($B7,N$1,1)</f>
        <v>1</v>
      </c>
      <c r="O8" s="1" t="str">
        <f t="shared" ref="O8" si="203">MID($B7,O$1,1)</f>
        <v>1</v>
      </c>
      <c r="P8" s="1" t="str">
        <f t="shared" ref="P8" si="204">MID($B7,P$1,1)</f>
        <v>0</v>
      </c>
      <c r="Q8" s="1" t="str">
        <f t="shared" ref="Q8" si="205">MID($B7,Q$1,1)</f>
        <v>1</v>
      </c>
      <c r="R8" s="1" t="str">
        <f t="shared" ref="R8" si="206">MID($B7,R$1,1)</f>
        <v>1</v>
      </c>
      <c r="S8" s="1" t="str">
        <f t="shared" ref="S8" si="207">MID($B7,S$1,1)</f>
        <v>0</v>
      </c>
      <c r="T8" s="1" t="str">
        <f t="shared" ref="T8" si="208">MID($B7,T$1,1)</f>
        <v>1</v>
      </c>
      <c r="U8" s="1" t="str">
        <f t="shared" ref="U8" si="209">MID($B7,U$1,1)</f>
        <v>0</v>
      </c>
      <c r="V8" s="1" t="str">
        <f t="shared" ref="V8" si="210">MID($B7,V$1,1)</f>
        <v>0</v>
      </c>
      <c r="W8" s="1" t="str">
        <f t="shared" ref="W8" si="211">MID($B7,W$1,1)</f>
        <v>0</v>
      </c>
      <c r="X8" s="1" t="str">
        <f t="shared" ref="X8" si="212">MID($B7,X$1,1)</f>
        <v>0</v>
      </c>
      <c r="Y8" s="1" t="str">
        <f t="shared" ref="Y8" si="213">MID($B7,Y$1,1)</f>
        <v>0</v>
      </c>
      <c r="Z8" s="1" t="str">
        <f t="shared" ref="Z8" si="214">MID($B7,Z$1,1)</f>
        <v>1</v>
      </c>
      <c r="AA8" s="1" t="str">
        <f t="shared" ref="AA8" si="215">MID($B7,AA$1,1)</f>
        <v>0</v>
      </c>
      <c r="AB8" s="1" t="str">
        <f t="shared" ref="AB8" si="216">MID($B7,AB$1,1)</f>
        <v>0</v>
      </c>
      <c r="AC8" s="1" t="str">
        <f t="shared" ref="AC8" si="217">MID($B7,AC$1,1)</f>
        <v>1</v>
      </c>
      <c r="AD8" s="1" t="str">
        <f t="shared" ref="AD8" si="218">MID($B7,AD$1,1)</f>
        <v>1</v>
      </c>
      <c r="AE8" s="1" t="str">
        <f t="shared" ref="AE8" si="219">MID($B7,AE$1,1)</f>
        <v>1</v>
      </c>
      <c r="AF8" s="1" t="str">
        <f t="shared" ref="AF8" si="220">MID($B7,AF$1,1)</f>
        <v>0</v>
      </c>
      <c r="AG8" s="1" t="str">
        <f t="shared" ref="AG8" si="221">MID($B7,AG$1,1)</f>
        <v>0</v>
      </c>
      <c r="AH8" s="1" t="str">
        <f t="shared" ref="AH8" si="222">MID($B7,AH$1,1)</f>
        <v>1</v>
      </c>
      <c r="AI8" s="1" t="str">
        <f t="shared" ref="AI8" si="223">MID($B7,AI$1,1)</f>
        <v>0</v>
      </c>
      <c r="AJ8" s="1" t="str">
        <f t="shared" ref="AJ8" si="224">MID($B7,AJ$1,1)</f>
        <v>1</v>
      </c>
      <c r="AK8" s="1" t="str">
        <f t="shared" ref="AK8" si="225">MID($B7,AK$1,1)</f>
        <v>1</v>
      </c>
      <c r="AL8" s="1" t="str">
        <f t="shared" ref="AL8" si="226">MID($B7,AL$1,1)</f>
        <v>0</v>
      </c>
      <c r="AM8" s="1" t="str">
        <f t="shared" ref="AM8" si="227">MID($B7,AM$1,1)</f>
        <v>1</v>
      </c>
      <c r="AN8" s="1" t="str">
        <f t="shared" ref="AN8" si="228">MID($B7,AN$1,1)</f>
        <v>1</v>
      </c>
      <c r="AO8" s="1" t="str">
        <f t="shared" ref="AO8" si="229">MID($B7,AO$1,1)</f>
        <v>1</v>
      </c>
      <c r="AP8" s="1" t="str">
        <f t="shared" ref="AP8" si="230">MID($B7,AP$1,1)</f>
        <v>1</v>
      </c>
      <c r="AQ8" s="1" t="str">
        <f t="shared" ref="AQ8" si="231">MID($B7,AQ$1,1)</f>
        <v>0</v>
      </c>
      <c r="AR8" s="1" t="str">
        <f t="shared" ref="AR8" si="232">MID($B7,AR$1,1)</f>
        <v>1</v>
      </c>
      <c r="AS8" s="1" t="str">
        <f t="shared" ref="AS8" si="233">MID($B7,AS$1,1)</f>
        <v>0</v>
      </c>
      <c r="AT8" s="1" t="str">
        <f t="shared" ref="AT8" si="234">MID($B7,AT$1,1)</f>
        <v>0</v>
      </c>
      <c r="AU8" s="1" t="str">
        <f t="shared" ref="AU8" si="235">MID($B7,AU$1,1)</f>
        <v>1</v>
      </c>
      <c r="AV8" s="1" t="str">
        <f t="shared" ref="AV8" si="236">MID($B7,AV$1,1)</f>
        <v>0</v>
      </c>
      <c r="AW8" s="1" t="str">
        <f t="shared" ref="AW8" si="237">MID($B7,AW$1,1)</f>
        <v>1</v>
      </c>
      <c r="AX8" s="1" t="str">
        <f t="shared" ref="AX8" si="238">MID($B7,AX$1,1)</f>
        <v>0</v>
      </c>
      <c r="AY8" s="1" t="str">
        <f t="shared" ref="AY8" si="239">MID($B7,AY$1,1)</f>
        <v>1</v>
      </c>
      <c r="AZ8" s="1" t="str">
        <f t="shared" ref="AZ8" si="240">MID($B7,AZ$1,1)</f>
        <v>0</v>
      </c>
      <c r="BA8" s="1" t="str">
        <f t="shared" ref="BA8" si="241">MID($B7,BA$1,1)</f>
        <v>0</v>
      </c>
      <c r="BB8" s="1" t="str">
        <f t="shared" ref="BB8" si="242">MID($B7,BB$1,1)</f>
        <v>0</v>
      </c>
      <c r="BC8" s="1" t="str">
        <f t="shared" ref="BC8" si="243">MID($B7,BC$1,1)</f>
        <v>1</v>
      </c>
      <c r="BD8" s="1" t="str">
        <f t="shared" ref="BD8" si="244">MID($B7,BD$1,1)</f>
        <v>1</v>
      </c>
      <c r="BE8" s="1" t="str">
        <f t="shared" ref="BE8" si="245">MID($B7,BE$1,1)</f>
        <v>1</v>
      </c>
      <c r="BF8" s="1" t="str">
        <f t="shared" ref="BF8" si="246">MID($B7,BF$1,1)</f>
        <v>1</v>
      </c>
      <c r="BG8" s="1" t="str">
        <f t="shared" ref="BG8" si="247">MID($B7,BG$1,1)</f>
        <v>1</v>
      </c>
      <c r="BH8" s="1" t="str">
        <f t="shared" ref="BH8" si="248">MID($B7,BH$1,1)</f>
        <v>1</v>
      </c>
      <c r="BI8" s="1" t="str">
        <f t="shared" ref="BI8" si="249">MID($B7,BI$1,1)</f>
        <v>0</v>
      </c>
      <c r="BJ8" s="1" t="str">
        <f t="shared" ref="BJ8" si="250">MID($B7,BJ$1,1)</f>
        <v>1</v>
      </c>
      <c r="BK8" s="1" t="str">
        <f t="shared" ref="BK8" si="251">MID($B7,BK$1,1)</f>
        <v>0</v>
      </c>
      <c r="BL8" s="1" t="str">
        <f t="shared" ref="BL8" si="252">MID($B7,BL$1,1)</f>
        <v>1</v>
      </c>
      <c r="BM8" s="1" t="str">
        <f t="shared" ref="BM8" si="253">MID($B7,BM$1,1)</f>
        <v>0</v>
      </c>
      <c r="BN8" s="1"/>
      <c r="BO8" s="1" t="str">
        <f>MID($BO7,BO$1,1)</f>
        <v>1</v>
      </c>
      <c r="BP8" s="1" t="str">
        <f t="shared" ref="BP8" si="254">MID($BO7,BP$1,1)</f>
        <v>1</v>
      </c>
      <c r="BQ8" s="1" t="str">
        <f t="shared" ref="BQ8" si="255">MID($BO7,BQ$1,1)</f>
        <v>1</v>
      </c>
      <c r="BR8" s="1" t="str">
        <f t="shared" ref="BR8" si="256">MID($BO7,BR$1,1)</f>
        <v>1</v>
      </c>
      <c r="BS8" s="1" t="str">
        <f t="shared" ref="BS8" si="257">MID($BO7,BS$1,1)</f>
        <v>0</v>
      </c>
      <c r="BT8" s="1" t="str">
        <f t="shared" ref="BT8" si="258">MID($BO7,BT$1,1)</f>
        <v>1</v>
      </c>
      <c r="BU8" s="1" t="str">
        <f t="shared" ref="BU8" si="259">MID($BO7,BU$1,1)</f>
        <v>0</v>
      </c>
      <c r="BV8" s="1" t="str">
        <f t="shared" ref="BV8" si="260">MID($BO7,BV$1,1)</f>
        <v>1</v>
      </c>
      <c r="BW8" s="1" t="str">
        <f t="shared" ref="BW8" si="261">MID($BO7,BW$1,1)</f>
        <v>0</v>
      </c>
      <c r="BX8" s="1" t="str">
        <f t="shared" ref="BX8" si="262">MID($BO7,BX$1,1)</f>
        <v>0</v>
      </c>
      <c r="BY8" s="1" t="str">
        <f t="shared" ref="BY8" si="263">MID($BO7,BY$1,1)</f>
        <v>1</v>
      </c>
      <c r="BZ8" s="1" t="str">
        <f t="shared" ref="BZ8" si="264">MID($BO7,BZ$1,1)</f>
        <v>1</v>
      </c>
      <c r="CA8" s="1" t="str">
        <f t="shared" ref="CA8" si="265">MID($BO7,CA$1,1)</f>
        <v>1</v>
      </c>
      <c r="CB8" s="1" t="str">
        <f t="shared" ref="CB8" si="266">MID($BO7,CB$1,1)</f>
        <v>1</v>
      </c>
      <c r="CC8" s="1" t="str">
        <f t="shared" ref="CC8" si="267">MID($BO7,CC$1,1)</f>
        <v>0</v>
      </c>
      <c r="CD8" s="1" t="str">
        <f t="shared" ref="CD8" si="268">MID($BO7,CD$1,1)</f>
        <v>1</v>
      </c>
      <c r="CE8" s="1" t="str">
        <f t="shared" ref="CE8" si="269">MID($BO7,CE$1,1)</f>
        <v>1</v>
      </c>
      <c r="CF8" s="1" t="str">
        <f t="shared" ref="CF8" si="270">MID($BO7,CF$1,1)</f>
        <v>0</v>
      </c>
      <c r="CG8" s="1" t="str">
        <f t="shared" ref="CG8" si="271">MID($BO7,CG$1,1)</f>
        <v>1</v>
      </c>
      <c r="CH8" s="1" t="str">
        <f t="shared" ref="CH8" si="272">MID($BO7,CH$1,1)</f>
        <v>1</v>
      </c>
      <c r="CI8" s="1" t="str">
        <f t="shared" ref="CI8" si="273">MID($BO7,CI$1,1)</f>
        <v>0</v>
      </c>
      <c r="CJ8" s="1" t="str">
        <f t="shared" ref="CJ8" si="274">MID($BO7,CJ$1,1)</f>
        <v>0</v>
      </c>
      <c r="CK8" s="1" t="str">
        <f t="shared" ref="CK8" si="275">MID($BO7,CK$1,1)</f>
        <v>0</v>
      </c>
      <c r="CL8" s="1" t="str">
        <f t="shared" ref="CL8" si="276">MID($BO7,CL$1,1)</f>
        <v>0</v>
      </c>
      <c r="CM8" s="1" t="str">
        <f t="shared" ref="CM8" si="277">MID($BO7,CM$1,1)</f>
        <v>0</v>
      </c>
      <c r="CN8" s="1" t="str">
        <f t="shared" ref="CN8" si="278">MID($BO7,CN$1,1)</f>
        <v>0</v>
      </c>
      <c r="CO8" s="1" t="str">
        <f t="shared" ref="CO8" si="279">MID($BO7,CO$1,1)</f>
        <v>0</v>
      </c>
      <c r="CP8" s="1" t="str">
        <f t="shared" ref="CP8" si="280">MID($BO7,CP$1,1)</f>
        <v>1</v>
      </c>
      <c r="CQ8" s="1" t="str">
        <f t="shared" ref="CQ8" si="281">MID($BO7,CQ$1,1)</f>
        <v>1</v>
      </c>
      <c r="CR8" s="1" t="str">
        <f t="shared" ref="CR8" si="282">MID($BO7,CR$1,1)</f>
        <v>1</v>
      </c>
      <c r="CS8" s="1" t="str">
        <f t="shared" ref="CS8" si="283">MID($BO7,CS$1,1)</f>
        <v>0</v>
      </c>
      <c r="CT8" s="1" t="str">
        <f t="shared" ref="CT8" si="284">MID($BO7,CT$1,1)</f>
        <v>0</v>
      </c>
      <c r="CU8" s="1" t="str">
        <f t="shared" ref="CU8" si="285">MID($BO7,CU$1,1)</f>
        <v>1</v>
      </c>
      <c r="CV8" s="1" t="str">
        <f t="shared" ref="CV8" si="286">MID($BO7,CV$1,1)</f>
        <v>0</v>
      </c>
      <c r="CW8" s="1" t="str">
        <f t="shared" ref="CW8" si="287">MID($BO7,CW$1,1)</f>
        <v>1</v>
      </c>
      <c r="CX8" s="1" t="str">
        <f t="shared" ref="CX8" si="288">MID($BO7,CX$1,1)</f>
        <v>1</v>
      </c>
      <c r="CY8" s="1" t="str">
        <f t="shared" ref="CY8" si="289">MID($BO7,CY$1,1)</f>
        <v>0</v>
      </c>
      <c r="CZ8" s="1" t="str">
        <f t="shared" ref="CZ8" si="290">MID($BO7,CZ$1,1)</f>
        <v>1</v>
      </c>
      <c r="DA8" s="1" t="str">
        <f t="shared" ref="DA8" si="291">MID($BO7,DA$1,1)</f>
        <v>1</v>
      </c>
      <c r="DB8" s="1" t="str">
        <f t="shared" ref="DB8" si="292">MID($BO7,DB$1,1)</f>
        <v>1</v>
      </c>
      <c r="DC8" s="1" t="str">
        <f t="shared" ref="DC8" si="293">MID($BO7,DC$1,1)</f>
        <v>1</v>
      </c>
      <c r="DD8" s="1" t="str">
        <f t="shared" ref="DD8" si="294">MID($BO7,DD$1,1)</f>
        <v>0</v>
      </c>
      <c r="DE8" s="1" t="str">
        <f t="shared" ref="DE8" si="295">MID($BO7,DE$1,1)</f>
        <v>1</v>
      </c>
      <c r="DF8" s="1" t="str">
        <f t="shared" ref="DF8" si="296">MID($BO7,DF$1,1)</f>
        <v>0</v>
      </c>
      <c r="DG8" s="1" t="str">
        <f t="shared" ref="DG8" si="297">MID($BO7,DG$1,1)</f>
        <v>0</v>
      </c>
      <c r="DH8" s="1" t="str">
        <f t="shared" ref="DH8" si="298">MID($BO7,DH$1,1)</f>
        <v>1</v>
      </c>
      <c r="DI8" s="1" t="str">
        <f t="shared" ref="DI8" si="299">MID($BO7,DI$1,1)</f>
        <v>0</v>
      </c>
      <c r="DJ8" s="1" t="str">
        <f t="shared" ref="DJ8" si="300">MID($BO7,DJ$1,1)</f>
        <v>0</v>
      </c>
      <c r="DK8" s="1" t="str">
        <f t="shared" ref="DK8" si="301">MID($BO7,DK$1,1)</f>
        <v>0</v>
      </c>
      <c r="DL8" s="1" t="str">
        <f t="shared" ref="DL8" si="302">MID($BO7,DL$1,1)</f>
        <v>1</v>
      </c>
      <c r="DM8" s="1" t="str">
        <f t="shared" ref="DM8" si="303">MID($BO7,DM$1,1)</f>
        <v>0</v>
      </c>
      <c r="DN8" s="1" t="str">
        <f t="shared" ref="DN8" si="304">MID($BO7,DN$1,1)</f>
        <v>0</v>
      </c>
      <c r="DO8" s="1" t="str">
        <f t="shared" ref="DO8" si="305">MID($BO7,DO$1,1)</f>
        <v>0</v>
      </c>
      <c r="DP8" s="1" t="str">
        <f t="shared" ref="DP8" si="306">MID($BO7,DP$1,1)</f>
        <v>1</v>
      </c>
      <c r="DQ8" s="1" t="str">
        <f t="shared" ref="DQ8" si="307">MID($BO7,DQ$1,1)</f>
        <v>1</v>
      </c>
      <c r="DR8" s="1" t="str">
        <f t="shared" ref="DR8" si="308">MID($BO7,DR$1,1)</f>
        <v>1</v>
      </c>
      <c r="DS8" s="1" t="str">
        <f t="shared" ref="DS8" si="309">MID($BO7,DS$1,1)</f>
        <v>1</v>
      </c>
      <c r="DT8" s="1" t="str">
        <f t="shared" ref="DT8" si="310">MID($BO7,DT$1,1)</f>
        <v>1</v>
      </c>
      <c r="DU8" s="1" t="str">
        <f t="shared" ref="DU8" si="311">MID($BO7,DU$1,1)</f>
        <v>1</v>
      </c>
      <c r="DV8" s="1" t="str">
        <f t="shared" ref="DV8" si="312">MID($BO7,DV$1,1)</f>
        <v>0</v>
      </c>
      <c r="DW8" s="1" t="str">
        <f t="shared" ref="DW8" si="313">MID($BO7,DW$1,1)</f>
        <v>1</v>
      </c>
      <c r="DX8" s="1" t="str">
        <f t="shared" ref="DX8" si="314">MID($BO7,DX$1,1)</f>
        <v>0</v>
      </c>
      <c r="DY8" s="1" t="str">
        <f t="shared" ref="DY8" si="315">MID($BO7,DY$1,1)</f>
        <v>1</v>
      </c>
      <c r="DZ8" s="1" t="str">
        <f t="shared" ref="DZ8" si="316">MID($BO7,DZ$1,1)</f>
        <v>0</v>
      </c>
      <c r="EB8" s="1">
        <f>IF(B8=BO8,0,1)</f>
        <v>1</v>
      </c>
      <c r="EC8" s="1">
        <f>IF(C8=BP8,0,1)</f>
        <v>0</v>
      </c>
      <c r="ED8" s="1">
        <f t="shared" ref="ED8" si="317">IF(D8=BQ8,0,1)</f>
        <v>1</v>
      </c>
      <c r="EE8" s="1">
        <f t="shared" ref="EE8" si="318">IF(E8=BR8,0,1)</f>
        <v>0</v>
      </c>
      <c r="EF8" s="1">
        <f t="shared" ref="EF8" si="319">IF(F8=BS8,0,1)</f>
        <v>0</v>
      </c>
      <c r="EG8" s="1">
        <f t="shared" ref="EG8" si="320">IF(G8=BT8,0,1)</f>
        <v>0</v>
      </c>
      <c r="EH8" s="1">
        <f t="shared" ref="EH8" si="321">IF(H8=BU8,0,1)</f>
        <v>0</v>
      </c>
      <c r="EI8" s="1">
        <f t="shared" ref="EI8" si="322">IF(I8=BV8,0,1)</f>
        <v>0</v>
      </c>
      <c r="EJ8" s="1">
        <f t="shared" ref="EJ8" si="323">IF(J8=BW8,0,1)</f>
        <v>0</v>
      </c>
      <c r="EK8" s="1">
        <f t="shared" ref="EK8" si="324">IF(K8=BX8,0,1)</f>
        <v>1</v>
      </c>
      <c r="EL8" s="1">
        <f t="shared" ref="EL8" si="325">IF(L8=BY8,0,1)</f>
        <v>0</v>
      </c>
      <c r="EM8" s="1">
        <f t="shared" ref="EM8" si="326">IF(M8=BZ8,0,1)</f>
        <v>0</v>
      </c>
      <c r="EN8" s="1">
        <f t="shared" ref="EN8" si="327">IF(N8=CA8,0,1)</f>
        <v>0</v>
      </c>
      <c r="EO8" s="1">
        <f t="shared" ref="EO8" si="328">IF(O8=CB8,0,1)</f>
        <v>0</v>
      </c>
      <c r="EP8" s="1">
        <f t="shared" ref="EP8" si="329">IF(P8=CC8,0,1)</f>
        <v>0</v>
      </c>
      <c r="EQ8" s="1">
        <f t="shared" ref="EQ8" si="330">IF(Q8=CD8,0,1)</f>
        <v>0</v>
      </c>
      <c r="ER8" s="1">
        <f t="shared" ref="ER8" si="331">IF(R8=CE8,0,1)</f>
        <v>0</v>
      </c>
      <c r="ES8" s="1">
        <f t="shared" ref="ES8" si="332">IF(S8=CF8,0,1)</f>
        <v>0</v>
      </c>
      <c r="ET8" s="1">
        <f t="shared" ref="ET8" si="333">IF(T8=CG8,0,1)</f>
        <v>0</v>
      </c>
      <c r="EU8" s="1">
        <f t="shared" ref="EU8" si="334">IF(U8=CH8,0,1)</f>
        <v>1</v>
      </c>
      <c r="EV8" s="1">
        <f t="shared" ref="EV8" si="335">IF(V8=CI8,0,1)</f>
        <v>0</v>
      </c>
      <c r="EW8" s="1">
        <f t="shared" ref="EW8" si="336">IF(W8=CJ8,0,1)</f>
        <v>0</v>
      </c>
      <c r="EX8" s="1">
        <f t="shared" ref="EX8" si="337">IF(X8=CK8,0,1)</f>
        <v>0</v>
      </c>
      <c r="EY8" s="1">
        <f t="shared" ref="EY8" si="338">IF(Y8=CL8,0,1)</f>
        <v>0</v>
      </c>
      <c r="EZ8" s="1">
        <f t="shared" ref="EZ8" si="339">IF(Z8=CM8,0,1)</f>
        <v>1</v>
      </c>
      <c r="FA8" s="1">
        <f t="shared" ref="FA8" si="340">IF(AA8=CN8,0,1)</f>
        <v>0</v>
      </c>
      <c r="FB8" s="1">
        <f t="shared" ref="FB8" si="341">IF(AB8=CO8,0,1)</f>
        <v>0</v>
      </c>
      <c r="FC8" s="1">
        <f t="shared" ref="FC8" si="342">IF(AC8=CP8,0,1)</f>
        <v>0</v>
      </c>
      <c r="FD8" s="1">
        <f t="shared" ref="FD8" si="343">IF(AD8=CQ8,0,1)</f>
        <v>0</v>
      </c>
      <c r="FE8" s="1">
        <f t="shared" ref="FE8" si="344">IF(AE8=CR8,0,1)</f>
        <v>0</v>
      </c>
      <c r="FF8" s="1">
        <f t="shared" ref="FF8" si="345">IF(AF8=CS8,0,1)</f>
        <v>0</v>
      </c>
      <c r="FG8" s="1">
        <f t="shared" ref="FG8" si="346">IF(AG8=CT8,0,1)</f>
        <v>0</v>
      </c>
      <c r="FH8" s="1">
        <f t="shared" ref="FH8" si="347">IF(AH8=CU8,0,1)</f>
        <v>0</v>
      </c>
      <c r="FI8" s="1">
        <f t="shared" ref="FI8" si="348">IF(AI8=CV8,0,1)</f>
        <v>0</v>
      </c>
      <c r="FJ8" s="1">
        <f t="shared" ref="FJ8" si="349">IF(AJ8=CW8,0,1)</f>
        <v>0</v>
      </c>
      <c r="FK8" s="1">
        <f t="shared" ref="FK8" si="350">IF(AK8=CX8,0,1)</f>
        <v>0</v>
      </c>
      <c r="FL8" s="1">
        <f t="shared" ref="FL8" si="351">IF(AL8=CY8,0,1)</f>
        <v>0</v>
      </c>
      <c r="FM8" s="1">
        <f t="shared" ref="FM8" si="352">IF(AM8=CZ8,0,1)</f>
        <v>0</v>
      </c>
      <c r="FN8" s="1">
        <f t="shared" ref="FN8" si="353">IF(AN8=DA8,0,1)</f>
        <v>0</v>
      </c>
      <c r="FO8" s="1">
        <f t="shared" ref="FO8" si="354">IF(AO8=DB8,0,1)</f>
        <v>0</v>
      </c>
      <c r="FP8" s="1">
        <f t="shared" ref="FP8" si="355">IF(AP8=DC8,0,1)</f>
        <v>0</v>
      </c>
      <c r="FQ8" s="1">
        <f t="shared" ref="FQ8" si="356">IF(AQ8=DD8,0,1)</f>
        <v>0</v>
      </c>
      <c r="FR8" s="1">
        <f t="shared" ref="FR8" si="357">IF(AR8=DE8,0,1)</f>
        <v>0</v>
      </c>
      <c r="FS8" s="1">
        <f t="shared" ref="FS8" si="358">IF(AS8=DF8,0,1)</f>
        <v>0</v>
      </c>
      <c r="FT8" s="1">
        <f t="shared" ref="FT8" si="359">IF(AT8=DG8,0,1)</f>
        <v>0</v>
      </c>
      <c r="FU8" s="1">
        <f t="shared" ref="FU8" si="360">IF(AU8=DH8,0,1)</f>
        <v>0</v>
      </c>
      <c r="FV8" s="1">
        <f t="shared" ref="FV8" si="361">IF(AV8=DI8,0,1)</f>
        <v>0</v>
      </c>
      <c r="FW8" s="1">
        <f t="shared" ref="FW8" si="362">IF(AW8=DJ8,0,1)</f>
        <v>1</v>
      </c>
      <c r="FX8" s="1">
        <f t="shared" ref="FX8" si="363">IF(AX8=DK8,0,1)</f>
        <v>0</v>
      </c>
      <c r="FY8" s="1">
        <f t="shared" ref="FY8" si="364">IF(AY8=DL8,0,1)</f>
        <v>0</v>
      </c>
      <c r="FZ8" s="1">
        <f t="shared" ref="FZ8" si="365">IF(AZ8=DM8,0,1)</f>
        <v>0</v>
      </c>
      <c r="GA8" s="1">
        <f t="shared" ref="GA8" si="366">IF(BA8=DN8,0,1)</f>
        <v>0</v>
      </c>
      <c r="GB8" s="1">
        <f t="shared" ref="GB8" si="367">IF(BB8=DO8,0,1)</f>
        <v>0</v>
      </c>
      <c r="GC8" s="1">
        <f t="shared" ref="GC8" si="368">IF(BC8=DP8,0,1)</f>
        <v>0</v>
      </c>
      <c r="GD8" s="1">
        <f t="shared" ref="GD8" si="369">IF(BD8=DQ8,0,1)</f>
        <v>0</v>
      </c>
      <c r="GE8" s="1">
        <f t="shared" ref="GE8" si="370">IF(BE8=DR8,0,1)</f>
        <v>0</v>
      </c>
      <c r="GF8" s="1">
        <f t="shared" ref="GF8" si="371">IF(BF8=DS8,0,1)</f>
        <v>0</v>
      </c>
      <c r="GG8" s="1">
        <f t="shared" ref="GG8" si="372">IF(BG8=DT8,0,1)</f>
        <v>0</v>
      </c>
      <c r="GH8" s="1">
        <f t="shared" ref="GH8" si="373">IF(BH8=DU8,0,1)</f>
        <v>0</v>
      </c>
      <c r="GI8" s="1">
        <f t="shared" ref="GI8" si="374">IF(BI8=DV8,0,1)</f>
        <v>0</v>
      </c>
      <c r="GJ8" s="1">
        <f t="shared" ref="GJ8" si="375">IF(BJ8=DW8,0,1)</f>
        <v>0</v>
      </c>
      <c r="GK8" s="1">
        <f t="shared" ref="GK8" si="376">IF(BK8=DX8,0,1)</f>
        <v>0</v>
      </c>
      <c r="GL8" s="1">
        <f t="shared" ref="GL8" si="377">IF(BL8=DY8,0,1)</f>
        <v>0</v>
      </c>
      <c r="GM8" s="1">
        <f t="shared" ref="GM8" si="378">IF(BM8=DZ8,0,1)</f>
        <v>0</v>
      </c>
      <c r="GO8" s="27">
        <f>SUM(EB8:GM8)</f>
        <v>6</v>
      </c>
      <c r="GT8" s="3">
        <v>5</v>
      </c>
      <c r="GU8" s="5" t="s">
        <v>75</v>
      </c>
      <c r="GV8" s="5"/>
      <c r="GW8" s="28" t="s">
        <v>76</v>
      </c>
    </row>
    <row r="9" spans="1:205">
      <c r="A9" s="2">
        <v>3</v>
      </c>
      <c r="B9" t="str">
        <f>VLOOKUP(A9,MESSAGE,2,FALSE)</f>
        <v>1111111000010011100111111111110001010101011111011010000010011100</v>
      </c>
      <c r="BO9" t="str">
        <f>VLOOKUP(A9,MESSAGE, 4,FALSE)</f>
        <v>1111110100100111001100100101010011110101001111011011000000011100</v>
      </c>
      <c r="GT9" s="3">
        <v>6</v>
      </c>
      <c r="GU9" s="5" t="s">
        <v>77</v>
      </c>
      <c r="GV9" s="5"/>
      <c r="GW9" s="28" t="s">
        <v>78</v>
      </c>
    </row>
    <row r="10" spans="1:205">
      <c r="A10" s="2"/>
      <c r="B10" s="1" t="str">
        <f>MID($B9,B$1,1)</f>
        <v>1</v>
      </c>
      <c r="C10" s="1" t="str">
        <f t="shared" ref="C10" si="379">MID($B9,C$1,1)</f>
        <v>1</v>
      </c>
      <c r="D10" s="1" t="str">
        <f t="shared" ref="D10" si="380">MID($B9,D$1,1)</f>
        <v>1</v>
      </c>
      <c r="E10" s="1" t="str">
        <f t="shared" ref="E10" si="381">MID($B9,E$1,1)</f>
        <v>1</v>
      </c>
      <c r="F10" s="1" t="str">
        <f t="shared" ref="F10" si="382">MID($B9,F$1,1)</f>
        <v>1</v>
      </c>
      <c r="G10" s="1" t="str">
        <f t="shared" ref="G10" si="383">MID($B9,G$1,1)</f>
        <v>1</v>
      </c>
      <c r="H10" s="1" t="str">
        <f t="shared" ref="H10" si="384">MID($B9,H$1,1)</f>
        <v>1</v>
      </c>
      <c r="I10" s="1" t="str">
        <f t="shared" ref="I10" si="385">MID($B9,I$1,1)</f>
        <v>0</v>
      </c>
      <c r="J10" s="1" t="str">
        <f t="shared" ref="J10" si="386">MID($B9,J$1,1)</f>
        <v>0</v>
      </c>
      <c r="K10" s="1" t="str">
        <f t="shared" ref="K10" si="387">MID($B9,K$1,1)</f>
        <v>0</v>
      </c>
      <c r="L10" s="1" t="str">
        <f t="shared" ref="L10" si="388">MID($B9,L$1,1)</f>
        <v>0</v>
      </c>
      <c r="M10" s="1" t="str">
        <f t="shared" ref="M10" si="389">MID($B9,M$1,1)</f>
        <v>1</v>
      </c>
      <c r="N10" s="1" t="str">
        <f t="shared" ref="N10" si="390">MID($B9,N$1,1)</f>
        <v>0</v>
      </c>
      <c r="O10" s="1" t="str">
        <f t="shared" ref="O10" si="391">MID($B9,O$1,1)</f>
        <v>0</v>
      </c>
      <c r="P10" s="1" t="str">
        <f t="shared" ref="P10" si="392">MID($B9,P$1,1)</f>
        <v>1</v>
      </c>
      <c r="Q10" s="1" t="str">
        <f t="shared" ref="Q10" si="393">MID($B9,Q$1,1)</f>
        <v>1</v>
      </c>
      <c r="R10" s="1" t="str">
        <f t="shared" ref="R10" si="394">MID($B9,R$1,1)</f>
        <v>1</v>
      </c>
      <c r="S10" s="1" t="str">
        <f t="shared" ref="S10" si="395">MID($B9,S$1,1)</f>
        <v>0</v>
      </c>
      <c r="T10" s="1" t="str">
        <f t="shared" ref="T10" si="396">MID($B9,T$1,1)</f>
        <v>0</v>
      </c>
      <c r="U10" s="1" t="str">
        <f t="shared" ref="U10" si="397">MID($B9,U$1,1)</f>
        <v>1</v>
      </c>
      <c r="V10" s="1" t="str">
        <f t="shared" ref="V10" si="398">MID($B9,V$1,1)</f>
        <v>1</v>
      </c>
      <c r="W10" s="1" t="str">
        <f t="shared" ref="W10" si="399">MID($B9,W$1,1)</f>
        <v>1</v>
      </c>
      <c r="X10" s="1" t="str">
        <f t="shared" ref="X10" si="400">MID($B9,X$1,1)</f>
        <v>1</v>
      </c>
      <c r="Y10" s="1" t="str">
        <f t="shared" ref="Y10" si="401">MID($B9,Y$1,1)</f>
        <v>1</v>
      </c>
      <c r="Z10" s="1" t="str">
        <f t="shared" ref="Z10" si="402">MID($B9,Z$1,1)</f>
        <v>1</v>
      </c>
      <c r="AA10" s="1" t="str">
        <f t="shared" ref="AA10" si="403">MID($B9,AA$1,1)</f>
        <v>1</v>
      </c>
      <c r="AB10" s="1" t="str">
        <f t="shared" ref="AB10" si="404">MID($B9,AB$1,1)</f>
        <v>1</v>
      </c>
      <c r="AC10" s="1" t="str">
        <f t="shared" ref="AC10" si="405">MID($B9,AC$1,1)</f>
        <v>1</v>
      </c>
      <c r="AD10" s="1" t="str">
        <f t="shared" ref="AD10" si="406">MID($B9,AD$1,1)</f>
        <v>1</v>
      </c>
      <c r="AE10" s="1" t="str">
        <f t="shared" ref="AE10" si="407">MID($B9,AE$1,1)</f>
        <v>1</v>
      </c>
      <c r="AF10" s="1" t="str">
        <f t="shared" ref="AF10" si="408">MID($B9,AF$1,1)</f>
        <v>0</v>
      </c>
      <c r="AG10" s="1" t="str">
        <f t="shared" ref="AG10" si="409">MID($B9,AG$1,1)</f>
        <v>0</v>
      </c>
      <c r="AH10" s="1" t="str">
        <f t="shared" ref="AH10" si="410">MID($B9,AH$1,1)</f>
        <v>0</v>
      </c>
      <c r="AI10" s="1" t="str">
        <f t="shared" ref="AI10" si="411">MID($B9,AI$1,1)</f>
        <v>1</v>
      </c>
      <c r="AJ10" s="1" t="str">
        <f t="shared" ref="AJ10" si="412">MID($B9,AJ$1,1)</f>
        <v>0</v>
      </c>
      <c r="AK10" s="1" t="str">
        <f t="shared" ref="AK10" si="413">MID($B9,AK$1,1)</f>
        <v>1</v>
      </c>
      <c r="AL10" s="1" t="str">
        <f t="shared" ref="AL10" si="414">MID($B9,AL$1,1)</f>
        <v>0</v>
      </c>
      <c r="AM10" s="1" t="str">
        <f t="shared" ref="AM10" si="415">MID($B9,AM$1,1)</f>
        <v>1</v>
      </c>
      <c r="AN10" s="1" t="str">
        <f t="shared" ref="AN10" si="416">MID($B9,AN$1,1)</f>
        <v>0</v>
      </c>
      <c r="AO10" s="1" t="str">
        <f t="shared" ref="AO10" si="417">MID($B9,AO$1,1)</f>
        <v>1</v>
      </c>
      <c r="AP10" s="1" t="str">
        <f t="shared" ref="AP10" si="418">MID($B9,AP$1,1)</f>
        <v>0</v>
      </c>
      <c r="AQ10" s="1" t="str">
        <f t="shared" ref="AQ10" si="419">MID($B9,AQ$1,1)</f>
        <v>1</v>
      </c>
      <c r="AR10" s="1" t="str">
        <f t="shared" ref="AR10" si="420">MID($B9,AR$1,1)</f>
        <v>1</v>
      </c>
      <c r="AS10" s="1" t="str">
        <f t="shared" ref="AS10" si="421">MID($B9,AS$1,1)</f>
        <v>1</v>
      </c>
      <c r="AT10" s="1" t="str">
        <f t="shared" ref="AT10" si="422">MID($B9,AT$1,1)</f>
        <v>1</v>
      </c>
      <c r="AU10" s="1" t="str">
        <f t="shared" ref="AU10" si="423">MID($B9,AU$1,1)</f>
        <v>1</v>
      </c>
      <c r="AV10" s="1" t="str">
        <f t="shared" ref="AV10" si="424">MID($B9,AV$1,1)</f>
        <v>0</v>
      </c>
      <c r="AW10" s="1" t="str">
        <f t="shared" ref="AW10" si="425">MID($B9,AW$1,1)</f>
        <v>1</v>
      </c>
      <c r="AX10" s="1" t="str">
        <f t="shared" ref="AX10" si="426">MID($B9,AX$1,1)</f>
        <v>1</v>
      </c>
      <c r="AY10" s="1" t="str">
        <f t="shared" ref="AY10" si="427">MID($B9,AY$1,1)</f>
        <v>0</v>
      </c>
      <c r="AZ10" s="1" t="str">
        <f t="shared" ref="AZ10" si="428">MID($B9,AZ$1,1)</f>
        <v>1</v>
      </c>
      <c r="BA10" s="1" t="str">
        <f t="shared" ref="BA10" si="429">MID($B9,BA$1,1)</f>
        <v>0</v>
      </c>
      <c r="BB10" s="1" t="str">
        <f t="shared" ref="BB10" si="430">MID($B9,BB$1,1)</f>
        <v>0</v>
      </c>
      <c r="BC10" s="1" t="str">
        <f t="shared" ref="BC10" si="431">MID($B9,BC$1,1)</f>
        <v>0</v>
      </c>
      <c r="BD10" s="1" t="str">
        <f t="shared" ref="BD10" si="432">MID($B9,BD$1,1)</f>
        <v>0</v>
      </c>
      <c r="BE10" s="1" t="str">
        <f t="shared" ref="BE10" si="433">MID($B9,BE$1,1)</f>
        <v>0</v>
      </c>
      <c r="BF10" s="1" t="str">
        <f t="shared" ref="BF10" si="434">MID($B9,BF$1,1)</f>
        <v>1</v>
      </c>
      <c r="BG10" s="1" t="str">
        <f t="shared" ref="BG10" si="435">MID($B9,BG$1,1)</f>
        <v>0</v>
      </c>
      <c r="BH10" s="1" t="str">
        <f t="shared" ref="BH10" si="436">MID($B9,BH$1,1)</f>
        <v>0</v>
      </c>
      <c r="BI10" s="1" t="str">
        <f t="shared" ref="BI10" si="437">MID($B9,BI$1,1)</f>
        <v>1</v>
      </c>
      <c r="BJ10" s="1" t="str">
        <f t="shared" ref="BJ10" si="438">MID($B9,BJ$1,1)</f>
        <v>1</v>
      </c>
      <c r="BK10" s="1" t="str">
        <f t="shared" ref="BK10" si="439">MID($B9,BK$1,1)</f>
        <v>1</v>
      </c>
      <c r="BL10" s="1" t="str">
        <f t="shared" ref="BL10" si="440">MID($B9,BL$1,1)</f>
        <v>0</v>
      </c>
      <c r="BM10" s="1" t="str">
        <f t="shared" ref="BM10" si="441">MID($B9,BM$1,1)</f>
        <v>0</v>
      </c>
      <c r="BN10" s="1"/>
      <c r="BO10" s="1" t="str">
        <f>MID($BO9,BO$1,1)</f>
        <v>1</v>
      </c>
      <c r="BP10" s="1" t="str">
        <f t="shared" ref="BP10" si="442">MID($BO9,BP$1,1)</f>
        <v>1</v>
      </c>
      <c r="BQ10" s="1" t="str">
        <f t="shared" ref="BQ10" si="443">MID($BO9,BQ$1,1)</f>
        <v>1</v>
      </c>
      <c r="BR10" s="1" t="str">
        <f t="shared" ref="BR10" si="444">MID($BO9,BR$1,1)</f>
        <v>1</v>
      </c>
      <c r="BS10" s="1" t="str">
        <f t="shared" ref="BS10" si="445">MID($BO9,BS$1,1)</f>
        <v>1</v>
      </c>
      <c r="BT10" s="1" t="str">
        <f t="shared" ref="BT10" si="446">MID($BO9,BT$1,1)</f>
        <v>1</v>
      </c>
      <c r="BU10" s="1" t="str">
        <f t="shared" ref="BU10" si="447">MID($BO9,BU$1,1)</f>
        <v>0</v>
      </c>
      <c r="BV10" s="1" t="str">
        <f t="shared" ref="BV10" si="448">MID($BO9,BV$1,1)</f>
        <v>1</v>
      </c>
      <c r="BW10" s="1" t="str">
        <f t="shared" ref="BW10" si="449">MID($BO9,BW$1,1)</f>
        <v>0</v>
      </c>
      <c r="BX10" s="1" t="str">
        <f t="shared" ref="BX10" si="450">MID($BO9,BX$1,1)</f>
        <v>0</v>
      </c>
      <c r="BY10" s="1" t="str">
        <f t="shared" ref="BY10" si="451">MID($BO9,BY$1,1)</f>
        <v>1</v>
      </c>
      <c r="BZ10" s="1" t="str">
        <f t="shared" ref="BZ10" si="452">MID($BO9,BZ$1,1)</f>
        <v>0</v>
      </c>
      <c r="CA10" s="1" t="str">
        <f t="shared" ref="CA10" si="453">MID($BO9,CA$1,1)</f>
        <v>0</v>
      </c>
      <c r="CB10" s="1" t="str">
        <f t="shared" ref="CB10" si="454">MID($BO9,CB$1,1)</f>
        <v>1</v>
      </c>
      <c r="CC10" s="1" t="str">
        <f t="shared" ref="CC10" si="455">MID($BO9,CC$1,1)</f>
        <v>1</v>
      </c>
      <c r="CD10" s="1" t="str">
        <f t="shared" ref="CD10" si="456">MID($BO9,CD$1,1)</f>
        <v>1</v>
      </c>
      <c r="CE10" s="1" t="str">
        <f t="shared" ref="CE10" si="457">MID($BO9,CE$1,1)</f>
        <v>0</v>
      </c>
      <c r="CF10" s="1" t="str">
        <f t="shared" ref="CF10" si="458">MID($BO9,CF$1,1)</f>
        <v>0</v>
      </c>
      <c r="CG10" s="1" t="str">
        <f t="shared" ref="CG10" si="459">MID($BO9,CG$1,1)</f>
        <v>1</v>
      </c>
      <c r="CH10" s="1" t="str">
        <f t="shared" ref="CH10" si="460">MID($BO9,CH$1,1)</f>
        <v>1</v>
      </c>
      <c r="CI10" s="1" t="str">
        <f t="shared" ref="CI10" si="461">MID($BO9,CI$1,1)</f>
        <v>0</v>
      </c>
      <c r="CJ10" s="1" t="str">
        <f t="shared" ref="CJ10" si="462">MID($BO9,CJ$1,1)</f>
        <v>0</v>
      </c>
      <c r="CK10" s="1" t="str">
        <f t="shared" ref="CK10" si="463">MID($BO9,CK$1,1)</f>
        <v>1</v>
      </c>
      <c r="CL10" s="1" t="str">
        <f t="shared" ref="CL10" si="464">MID($BO9,CL$1,1)</f>
        <v>0</v>
      </c>
      <c r="CM10" s="1" t="str">
        <f t="shared" ref="CM10" si="465">MID($BO9,CM$1,1)</f>
        <v>0</v>
      </c>
      <c r="CN10" s="1" t="str">
        <f t="shared" ref="CN10" si="466">MID($BO9,CN$1,1)</f>
        <v>1</v>
      </c>
      <c r="CO10" s="1" t="str">
        <f t="shared" ref="CO10" si="467">MID($BO9,CO$1,1)</f>
        <v>0</v>
      </c>
      <c r="CP10" s="1" t="str">
        <f t="shared" ref="CP10" si="468">MID($BO9,CP$1,1)</f>
        <v>1</v>
      </c>
      <c r="CQ10" s="1" t="str">
        <f t="shared" ref="CQ10" si="469">MID($BO9,CQ$1,1)</f>
        <v>0</v>
      </c>
      <c r="CR10" s="1" t="str">
        <f t="shared" ref="CR10" si="470">MID($BO9,CR$1,1)</f>
        <v>1</v>
      </c>
      <c r="CS10" s="1" t="str">
        <f t="shared" ref="CS10" si="471">MID($BO9,CS$1,1)</f>
        <v>0</v>
      </c>
      <c r="CT10" s="1" t="str">
        <f t="shared" ref="CT10" si="472">MID($BO9,CT$1,1)</f>
        <v>0</v>
      </c>
      <c r="CU10" s="1" t="str">
        <f t="shared" ref="CU10" si="473">MID($BO9,CU$1,1)</f>
        <v>1</v>
      </c>
      <c r="CV10" s="1" t="str">
        <f t="shared" ref="CV10" si="474">MID($BO9,CV$1,1)</f>
        <v>1</v>
      </c>
      <c r="CW10" s="1" t="str">
        <f t="shared" ref="CW10" si="475">MID($BO9,CW$1,1)</f>
        <v>1</v>
      </c>
      <c r="CX10" s="1" t="str">
        <f t="shared" ref="CX10" si="476">MID($BO9,CX$1,1)</f>
        <v>1</v>
      </c>
      <c r="CY10" s="1" t="str">
        <f t="shared" ref="CY10" si="477">MID($BO9,CY$1,1)</f>
        <v>0</v>
      </c>
      <c r="CZ10" s="1" t="str">
        <f t="shared" ref="CZ10" si="478">MID($BO9,CZ$1,1)</f>
        <v>1</v>
      </c>
      <c r="DA10" s="1" t="str">
        <f t="shared" ref="DA10" si="479">MID($BO9,DA$1,1)</f>
        <v>0</v>
      </c>
      <c r="DB10" s="1" t="str">
        <f t="shared" ref="DB10" si="480">MID($BO9,DB$1,1)</f>
        <v>1</v>
      </c>
      <c r="DC10" s="1" t="str">
        <f t="shared" ref="DC10" si="481">MID($BO9,DC$1,1)</f>
        <v>0</v>
      </c>
      <c r="DD10" s="1" t="str">
        <f t="shared" ref="DD10" si="482">MID($BO9,DD$1,1)</f>
        <v>0</v>
      </c>
      <c r="DE10" s="1" t="str">
        <f t="shared" ref="DE10" si="483">MID($BO9,DE$1,1)</f>
        <v>1</v>
      </c>
      <c r="DF10" s="1" t="str">
        <f t="shared" ref="DF10" si="484">MID($BO9,DF$1,1)</f>
        <v>1</v>
      </c>
      <c r="DG10" s="1" t="str">
        <f t="shared" ref="DG10" si="485">MID($BO9,DG$1,1)</f>
        <v>1</v>
      </c>
      <c r="DH10" s="1" t="str">
        <f t="shared" ref="DH10" si="486">MID($BO9,DH$1,1)</f>
        <v>1</v>
      </c>
      <c r="DI10" s="1" t="str">
        <f t="shared" ref="DI10" si="487">MID($BO9,DI$1,1)</f>
        <v>0</v>
      </c>
      <c r="DJ10" s="1" t="str">
        <f t="shared" ref="DJ10" si="488">MID($BO9,DJ$1,1)</f>
        <v>1</v>
      </c>
      <c r="DK10" s="1" t="str">
        <f t="shared" ref="DK10" si="489">MID($BO9,DK$1,1)</f>
        <v>1</v>
      </c>
      <c r="DL10" s="1" t="str">
        <f t="shared" ref="DL10" si="490">MID($BO9,DL$1,1)</f>
        <v>0</v>
      </c>
      <c r="DM10" s="1" t="str">
        <f t="shared" ref="DM10" si="491">MID($BO9,DM$1,1)</f>
        <v>1</v>
      </c>
      <c r="DN10" s="1" t="str">
        <f t="shared" ref="DN10" si="492">MID($BO9,DN$1,1)</f>
        <v>1</v>
      </c>
      <c r="DO10" s="1" t="str">
        <f t="shared" ref="DO10" si="493">MID($BO9,DO$1,1)</f>
        <v>0</v>
      </c>
      <c r="DP10" s="1" t="str">
        <f t="shared" ref="DP10" si="494">MID($BO9,DP$1,1)</f>
        <v>0</v>
      </c>
      <c r="DQ10" s="1" t="str">
        <f t="shared" ref="DQ10" si="495">MID($BO9,DQ$1,1)</f>
        <v>0</v>
      </c>
      <c r="DR10" s="1" t="str">
        <f t="shared" ref="DR10" si="496">MID($BO9,DR$1,1)</f>
        <v>0</v>
      </c>
      <c r="DS10" s="1" t="str">
        <f t="shared" ref="DS10" si="497">MID($BO9,DS$1,1)</f>
        <v>0</v>
      </c>
      <c r="DT10" s="1" t="str">
        <f t="shared" ref="DT10" si="498">MID($BO9,DT$1,1)</f>
        <v>0</v>
      </c>
      <c r="DU10" s="1" t="str">
        <f t="shared" ref="DU10" si="499">MID($BO9,DU$1,1)</f>
        <v>0</v>
      </c>
      <c r="DV10" s="1" t="str">
        <f t="shared" ref="DV10" si="500">MID($BO9,DV$1,1)</f>
        <v>1</v>
      </c>
      <c r="DW10" s="1" t="str">
        <f t="shared" ref="DW10" si="501">MID($BO9,DW$1,1)</f>
        <v>1</v>
      </c>
      <c r="DX10" s="1" t="str">
        <f t="shared" ref="DX10" si="502">MID($BO9,DX$1,1)</f>
        <v>1</v>
      </c>
      <c r="DY10" s="1" t="str">
        <f t="shared" ref="DY10" si="503">MID($BO9,DY$1,1)</f>
        <v>0</v>
      </c>
      <c r="DZ10" s="1" t="str">
        <f t="shared" ref="DZ10" si="504">MID($BO9,DZ$1,1)</f>
        <v>0</v>
      </c>
      <c r="EB10" s="1">
        <f>IF(B10=BO10,0,1)</f>
        <v>0</v>
      </c>
      <c r="EC10" s="1">
        <f>IF(C10=BP10,0,1)</f>
        <v>0</v>
      </c>
      <c r="ED10" s="1">
        <f t="shared" ref="ED10" si="505">IF(D10=BQ10,0,1)</f>
        <v>0</v>
      </c>
      <c r="EE10" s="1">
        <f t="shared" ref="EE10" si="506">IF(E10=BR10,0,1)</f>
        <v>0</v>
      </c>
      <c r="EF10" s="1">
        <f t="shared" ref="EF10" si="507">IF(F10=BS10,0,1)</f>
        <v>0</v>
      </c>
      <c r="EG10" s="1">
        <f t="shared" ref="EG10" si="508">IF(G10=BT10,0,1)</f>
        <v>0</v>
      </c>
      <c r="EH10" s="1">
        <f t="shared" ref="EH10" si="509">IF(H10=BU10,0,1)</f>
        <v>1</v>
      </c>
      <c r="EI10" s="1">
        <f t="shared" ref="EI10" si="510">IF(I10=BV10,0,1)</f>
        <v>1</v>
      </c>
      <c r="EJ10" s="1">
        <f t="shared" ref="EJ10" si="511">IF(J10=BW10,0,1)</f>
        <v>0</v>
      </c>
      <c r="EK10" s="1">
        <f t="shared" ref="EK10" si="512">IF(K10=BX10,0,1)</f>
        <v>0</v>
      </c>
      <c r="EL10" s="1">
        <f t="shared" ref="EL10" si="513">IF(L10=BY10,0,1)</f>
        <v>1</v>
      </c>
      <c r="EM10" s="1">
        <f t="shared" ref="EM10" si="514">IF(M10=BZ10,0,1)</f>
        <v>1</v>
      </c>
      <c r="EN10" s="1">
        <f t="shared" ref="EN10" si="515">IF(N10=CA10,0,1)</f>
        <v>0</v>
      </c>
      <c r="EO10" s="1">
        <f t="shared" ref="EO10" si="516">IF(O10=CB10,0,1)</f>
        <v>1</v>
      </c>
      <c r="EP10" s="1">
        <f t="shared" ref="EP10" si="517">IF(P10=CC10,0,1)</f>
        <v>0</v>
      </c>
      <c r="EQ10" s="1">
        <f t="shared" ref="EQ10" si="518">IF(Q10=CD10,0,1)</f>
        <v>0</v>
      </c>
      <c r="ER10" s="1">
        <f t="shared" ref="ER10" si="519">IF(R10=CE10,0,1)</f>
        <v>1</v>
      </c>
      <c r="ES10" s="1">
        <f t="shared" ref="ES10" si="520">IF(S10=CF10,0,1)</f>
        <v>0</v>
      </c>
      <c r="ET10" s="1">
        <f t="shared" ref="ET10" si="521">IF(T10=CG10,0,1)</f>
        <v>1</v>
      </c>
      <c r="EU10" s="1">
        <f t="shared" ref="EU10" si="522">IF(U10=CH10,0,1)</f>
        <v>0</v>
      </c>
      <c r="EV10" s="1">
        <f t="shared" ref="EV10" si="523">IF(V10=CI10,0,1)</f>
        <v>1</v>
      </c>
      <c r="EW10" s="1">
        <f t="shared" ref="EW10" si="524">IF(W10=CJ10,0,1)</f>
        <v>1</v>
      </c>
      <c r="EX10" s="1">
        <f t="shared" ref="EX10" si="525">IF(X10=CK10,0,1)</f>
        <v>0</v>
      </c>
      <c r="EY10" s="1">
        <f t="shared" ref="EY10" si="526">IF(Y10=CL10,0,1)</f>
        <v>1</v>
      </c>
      <c r="EZ10" s="1">
        <f t="shared" ref="EZ10" si="527">IF(Z10=CM10,0,1)</f>
        <v>1</v>
      </c>
      <c r="FA10" s="1">
        <f t="shared" ref="FA10" si="528">IF(AA10=CN10,0,1)</f>
        <v>0</v>
      </c>
      <c r="FB10" s="1">
        <f t="shared" ref="FB10" si="529">IF(AB10=CO10,0,1)</f>
        <v>1</v>
      </c>
      <c r="FC10" s="1">
        <f t="shared" ref="FC10" si="530">IF(AC10=CP10,0,1)</f>
        <v>0</v>
      </c>
      <c r="FD10" s="1">
        <f t="shared" ref="FD10" si="531">IF(AD10=CQ10,0,1)</f>
        <v>1</v>
      </c>
      <c r="FE10" s="1">
        <f t="shared" ref="FE10" si="532">IF(AE10=CR10,0,1)</f>
        <v>0</v>
      </c>
      <c r="FF10" s="1">
        <f t="shared" ref="FF10" si="533">IF(AF10=CS10,0,1)</f>
        <v>0</v>
      </c>
      <c r="FG10" s="1">
        <f t="shared" ref="FG10" si="534">IF(AG10=CT10,0,1)</f>
        <v>0</v>
      </c>
      <c r="FH10" s="1">
        <f t="shared" ref="FH10" si="535">IF(AH10=CU10,0,1)</f>
        <v>1</v>
      </c>
      <c r="FI10" s="1">
        <f t="shared" ref="FI10" si="536">IF(AI10=CV10,0,1)</f>
        <v>0</v>
      </c>
      <c r="FJ10" s="1">
        <f t="shared" ref="FJ10" si="537">IF(AJ10=CW10,0,1)</f>
        <v>1</v>
      </c>
      <c r="FK10" s="1">
        <f t="shared" ref="FK10" si="538">IF(AK10=CX10,0,1)</f>
        <v>0</v>
      </c>
      <c r="FL10" s="1">
        <f t="shared" ref="FL10" si="539">IF(AL10=CY10,0,1)</f>
        <v>0</v>
      </c>
      <c r="FM10" s="1">
        <f t="shared" ref="FM10" si="540">IF(AM10=CZ10,0,1)</f>
        <v>0</v>
      </c>
      <c r="FN10" s="1">
        <f t="shared" ref="FN10" si="541">IF(AN10=DA10,0,1)</f>
        <v>0</v>
      </c>
      <c r="FO10" s="1">
        <f t="shared" ref="FO10" si="542">IF(AO10=DB10,0,1)</f>
        <v>0</v>
      </c>
      <c r="FP10" s="1">
        <f t="shared" ref="FP10" si="543">IF(AP10=DC10,0,1)</f>
        <v>0</v>
      </c>
      <c r="FQ10" s="1">
        <f t="shared" ref="FQ10" si="544">IF(AQ10=DD10,0,1)</f>
        <v>1</v>
      </c>
      <c r="FR10" s="1">
        <f t="shared" ref="FR10" si="545">IF(AR10=DE10,0,1)</f>
        <v>0</v>
      </c>
      <c r="FS10" s="1">
        <f t="shared" ref="FS10" si="546">IF(AS10=DF10,0,1)</f>
        <v>0</v>
      </c>
      <c r="FT10" s="1">
        <f t="shared" ref="FT10" si="547">IF(AT10=DG10,0,1)</f>
        <v>0</v>
      </c>
      <c r="FU10" s="1">
        <f t="shared" ref="FU10" si="548">IF(AU10=DH10,0,1)</f>
        <v>0</v>
      </c>
      <c r="FV10" s="1">
        <f t="shared" ref="FV10" si="549">IF(AV10=DI10,0,1)</f>
        <v>0</v>
      </c>
      <c r="FW10" s="1">
        <f t="shared" ref="FW10" si="550">IF(AW10=DJ10,0,1)</f>
        <v>0</v>
      </c>
      <c r="FX10" s="1">
        <f t="shared" ref="FX10" si="551">IF(AX10=DK10,0,1)</f>
        <v>0</v>
      </c>
      <c r="FY10" s="1">
        <f t="shared" ref="FY10" si="552">IF(AY10=DL10,0,1)</f>
        <v>0</v>
      </c>
      <c r="FZ10" s="1">
        <f t="shared" ref="FZ10" si="553">IF(AZ10=DM10,0,1)</f>
        <v>0</v>
      </c>
      <c r="GA10" s="1">
        <f t="shared" ref="GA10" si="554">IF(BA10=DN10,0,1)</f>
        <v>1</v>
      </c>
      <c r="GB10" s="1">
        <f t="shared" ref="GB10" si="555">IF(BB10=DO10,0,1)</f>
        <v>0</v>
      </c>
      <c r="GC10" s="1">
        <f t="shared" ref="GC10" si="556">IF(BC10=DP10,0,1)</f>
        <v>0</v>
      </c>
      <c r="GD10" s="1">
        <f t="shared" ref="GD10" si="557">IF(BD10=DQ10,0,1)</f>
        <v>0</v>
      </c>
      <c r="GE10" s="1">
        <f t="shared" ref="GE10" si="558">IF(BE10=DR10,0,1)</f>
        <v>0</v>
      </c>
      <c r="GF10" s="1">
        <f t="shared" ref="GF10" si="559">IF(BF10=DS10,0,1)</f>
        <v>1</v>
      </c>
      <c r="GG10" s="1">
        <f t="shared" ref="GG10" si="560">IF(BG10=DT10,0,1)</f>
        <v>0</v>
      </c>
      <c r="GH10" s="1">
        <f t="shared" ref="GH10" si="561">IF(BH10=DU10,0,1)</f>
        <v>0</v>
      </c>
      <c r="GI10" s="1">
        <f t="shared" ref="GI10" si="562">IF(BI10=DV10,0,1)</f>
        <v>0</v>
      </c>
      <c r="GJ10" s="1">
        <f t="shared" ref="GJ10" si="563">IF(BJ10=DW10,0,1)</f>
        <v>0</v>
      </c>
      <c r="GK10" s="1">
        <f t="shared" ref="GK10" si="564">IF(BK10=DX10,0,1)</f>
        <v>0</v>
      </c>
      <c r="GL10" s="1">
        <f t="shared" ref="GL10" si="565">IF(BL10=DY10,0,1)</f>
        <v>0</v>
      </c>
      <c r="GM10" s="1">
        <f t="shared" ref="GM10" si="566">IF(BM10=DZ10,0,1)</f>
        <v>0</v>
      </c>
      <c r="GO10" s="27">
        <f>SUM(EB10:GM10)</f>
        <v>18</v>
      </c>
      <c r="GT10" s="3">
        <v>7</v>
      </c>
      <c r="GU10" s="5" t="s">
        <v>79</v>
      </c>
      <c r="GV10" s="5"/>
      <c r="GW10" s="28" t="s">
        <v>80</v>
      </c>
    </row>
    <row r="11" spans="1:205">
      <c r="A11" s="2">
        <v>4</v>
      </c>
      <c r="B11" t="str">
        <f>VLOOKUP(A11,MESSAGE,2,FALSE)</f>
        <v>1100111000110111100001110001010111111110000100111001111111111100</v>
      </c>
      <c r="BO11" t="str">
        <f>VLOOKUP(A11,MESSAGE, 4,FALSE)</f>
        <v>1101100100011000110111100011010111111101001001110011001001010100</v>
      </c>
      <c r="GT11" s="3">
        <v>8</v>
      </c>
      <c r="GU11" s="5" t="s">
        <v>81</v>
      </c>
      <c r="GV11" s="5"/>
      <c r="GW11" s="28" t="s">
        <v>82</v>
      </c>
    </row>
    <row r="12" spans="1:205">
      <c r="A12" s="2"/>
      <c r="B12" s="1" t="str">
        <f>MID($B11,B$1,1)</f>
        <v>1</v>
      </c>
      <c r="C12" s="1" t="str">
        <f t="shared" ref="C12" si="567">MID($B11,C$1,1)</f>
        <v>1</v>
      </c>
      <c r="D12" s="1" t="str">
        <f t="shared" ref="D12" si="568">MID($B11,D$1,1)</f>
        <v>0</v>
      </c>
      <c r="E12" s="1" t="str">
        <f t="shared" ref="E12" si="569">MID($B11,E$1,1)</f>
        <v>0</v>
      </c>
      <c r="F12" s="1" t="str">
        <f t="shared" ref="F12" si="570">MID($B11,F$1,1)</f>
        <v>1</v>
      </c>
      <c r="G12" s="1" t="str">
        <f t="shared" ref="G12" si="571">MID($B11,G$1,1)</f>
        <v>1</v>
      </c>
      <c r="H12" s="1" t="str">
        <f t="shared" ref="H12" si="572">MID($B11,H$1,1)</f>
        <v>1</v>
      </c>
      <c r="I12" s="1" t="str">
        <f t="shared" ref="I12" si="573">MID($B11,I$1,1)</f>
        <v>0</v>
      </c>
      <c r="J12" s="1" t="str">
        <f t="shared" ref="J12" si="574">MID($B11,J$1,1)</f>
        <v>0</v>
      </c>
      <c r="K12" s="1" t="str">
        <f t="shared" ref="K12" si="575">MID($B11,K$1,1)</f>
        <v>0</v>
      </c>
      <c r="L12" s="1" t="str">
        <f t="shared" ref="L12" si="576">MID($B11,L$1,1)</f>
        <v>1</v>
      </c>
      <c r="M12" s="1" t="str">
        <f t="shared" ref="M12" si="577">MID($B11,M$1,1)</f>
        <v>1</v>
      </c>
      <c r="N12" s="1" t="str">
        <f t="shared" ref="N12" si="578">MID($B11,N$1,1)</f>
        <v>0</v>
      </c>
      <c r="O12" s="1" t="str">
        <f t="shared" ref="O12" si="579">MID($B11,O$1,1)</f>
        <v>1</v>
      </c>
      <c r="P12" s="1" t="str">
        <f t="shared" ref="P12" si="580">MID($B11,P$1,1)</f>
        <v>1</v>
      </c>
      <c r="Q12" s="1" t="str">
        <f t="shared" ref="Q12" si="581">MID($B11,Q$1,1)</f>
        <v>1</v>
      </c>
      <c r="R12" s="1" t="str">
        <f t="shared" ref="R12" si="582">MID($B11,R$1,1)</f>
        <v>1</v>
      </c>
      <c r="S12" s="1" t="str">
        <f t="shared" ref="S12" si="583">MID($B11,S$1,1)</f>
        <v>0</v>
      </c>
      <c r="T12" s="1" t="str">
        <f t="shared" ref="T12" si="584">MID($B11,T$1,1)</f>
        <v>0</v>
      </c>
      <c r="U12" s="1" t="str">
        <f t="shared" ref="U12" si="585">MID($B11,U$1,1)</f>
        <v>0</v>
      </c>
      <c r="V12" s="1" t="str">
        <f t="shared" ref="V12" si="586">MID($B11,V$1,1)</f>
        <v>0</v>
      </c>
      <c r="W12" s="1" t="str">
        <f t="shared" ref="W12" si="587">MID($B11,W$1,1)</f>
        <v>1</v>
      </c>
      <c r="X12" s="1" t="str">
        <f t="shared" ref="X12" si="588">MID($B11,X$1,1)</f>
        <v>1</v>
      </c>
      <c r="Y12" s="1" t="str">
        <f t="shared" ref="Y12" si="589">MID($B11,Y$1,1)</f>
        <v>1</v>
      </c>
      <c r="Z12" s="1" t="str">
        <f t="shared" ref="Z12" si="590">MID($B11,Z$1,1)</f>
        <v>0</v>
      </c>
      <c r="AA12" s="1" t="str">
        <f t="shared" ref="AA12" si="591">MID($B11,AA$1,1)</f>
        <v>0</v>
      </c>
      <c r="AB12" s="1" t="str">
        <f t="shared" ref="AB12" si="592">MID($B11,AB$1,1)</f>
        <v>0</v>
      </c>
      <c r="AC12" s="1" t="str">
        <f t="shared" ref="AC12" si="593">MID($B11,AC$1,1)</f>
        <v>1</v>
      </c>
      <c r="AD12" s="1" t="str">
        <f t="shared" ref="AD12" si="594">MID($B11,AD$1,1)</f>
        <v>0</v>
      </c>
      <c r="AE12" s="1" t="str">
        <f t="shared" ref="AE12" si="595">MID($B11,AE$1,1)</f>
        <v>1</v>
      </c>
      <c r="AF12" s="1" t="str">
        <f t="shared" ref="AF12" si="596">MID($B11,AF$1,1)</f>
        <v>0</v>
      </c>
      <c r="AG12" s="1" t="str">
        <f t="shared" ref="AG12" si="597">MID($B11,AG$1,1)</f>
        <v>1</v>
      </c>
      <c r="AH12" s="1" t="str">
        <f t="shared" ref="AH12" si="598">MID($B11,AH$1,1)</f>
        <v>1</v>
      </c>
      <c r="AI12" s="1" t="str">
        <f t="shared" ref="AI12" si="599">MID($B11,AI$1,1)</f>
        <v>1</v>
      </c>
      <c r="AJ12" s="1" t="str">
        <f t="shared" ref="AJ12" si="600">MID($B11,AJ$1,1)</f>
        <v>1</v>
      </c>
      <c r="AK12" s="1" t="str">
        <f t="shared" ref="AK12" si="601">MID($B11,AK$1,1)</f>
        <v>1</v>
      </c>
      <c r="AL12" s="1" t="str">
        <f t="shared" ref="AL12" si="602">MID($B11,AL$1,1)</f>
        <v>1</v>
      </c>
      <c r="AM12" s="1" t="str">
        <f t="shared" ref="AM12" si="603">MID($B11,AM$1,1)</f>
        <v>1</v>
      </c>
      <c r="AN12" s="1" t="str">
        <f t="shared" ref="AN12" si="604">MID($B11,AN$1,1)</f>
        <v>1</v>
      </c>
      <c r="AO12" s="1" t="str">
        <f t="shared" ref="AO12" si="605">MID($B11,AO$1,1)</f>
        <v>0</v>
      </c>
      <c r="AP12" s="1" t="str">
        <f t="shared" ref="AP12" si="606">MID($B11,AP$1,1)</f>
        <v>0</v>
      </c>
      <c r="AQ12" s="1" t="str">
        <f t="shared" ref="AQ12" si="607">MID($B11,AQ$1,1)</f>
        <v>0</v>
      </c>
      <c r="AR12" s="1" t="str">
        <f t="shared" ref="AR12" si="608">MID($B11,AR$1,1)</f>
        <v>0</v>
      </c>
      <c r="AS12" s="1" t="str">
        <f t="shared" ref="AS12" si="609">MID($B11,AS$1,1)</f>
        <v>1</v>
      </c>
      <c r="AT12" s="1" t="str">
        <f t="shared" ref="AT12" si="610">MID($B11,AT$1,1)</f>
        <v>0</v>
      </c>
      <c r="AU12" s="1" t="str">
        <f t="shared" ref="AU12" si="611">MID($B11,AU$1,1)</f>
        <v>0</v>
      </c>
      <c r="AV12" s="1" t="str">
        <f t="shared" ref="AV12" si="612">MID($B11,AV$1,1)</f>
        <v>1</v>
      </c>
      <c r="AW12" s="1" t="str">
        <f t="shared" ref="AW12" si="613">MID($B11,AW$1,1)</f>
        <v>1</v>
      </c>
      <c r="AX12" s="1" t="str">
        <f t="shared" ref="AX12" si="614">MID($B11,AX$1,1)</f>
        <v>1</v>
      </c>
      <c r="AY12" s="1" t="str">
        <f t="shared" ref="AY12" si="615">MID($B11,AY$1,1)</f>
        <v>0</v>
      </c>
      <c r="AZ12" s="1" t="str">
        <f t="shared" ref="AZ12" si="616">MID($B11,AZ$1,1)</f>
        <v>0</v>
      </c>
      <c r="BA12" s="1" t="str">
        <f t="shared" ref="BA12" si="617">MID($B11,BA$1,1)</f>
        <v>1</v>
      </c>
      <c r="BB12" s="1" t="str">
        <f t="shared" ref="BB12" si="618">MID($B11,BB$1,1)</f>
        <v>1</v>
      </c>
      <c r="BC12" s="1" t="str">
        <f t="shared" ref="BC12" si="619">MID($B11,BC$1,1)</f>
        <v>1</v>
      </c>
      <c r="BD12" s="1" t="str">
        <f t="shared" ref="BD12" si="620">MID($B11,BD$1,1)</f>
        <v>1</v>
      </c>
      <c r="BE12" s="1" t="str">
        <f t="shared" ref="BE12" si="621">MID($B11,BE$1,1)</f>
        <v>1</v>
      </c>
      <c r="BF12" s="1" t="str">
        <f t="shared" ref="BF12" si="622">MID($B11,BF$1,1)</f>
        <v>1</v>
      </c>
      <c r="BG12" s="1" t="str">
        <f t="shared" ref="BG12" si="623">MID($B11,BG$1,1)</f>
        <v>1</v>
      </c>
      <c r="BH12" s="1" t="str">
        <f t="shared" ref="BH12" si="624">MID($B11,BH$1,1)</f>
        <v>1</v>
      </c>
      <c r="BI12" s="1" t="str">
        <f t="shared" ref="BI12" si="625">MID($B11,BI$1,1)</f>
        <v>1</v>
      </c>
      <c r="BJ12" s="1" t="str">
        <f t="shared" ref="BJ12" si="626">MID($B11,BJ$1,1)</f>
        <v>1</v>
      </c>
      <c r="BK12" s="1" t="str">
        <f t="shared" ref="BK12" si="627">MID($B11,BK$1,1)</f>
        <v>1</v>
      </c>
      <c r="BL12" s="1" t="str">
        <f t="shared" ref="BL12" si="628">MID($B11,BL$1,1)</f>
        <v>0</v>
      </c>
      <c r="BM12" s="1" t="str">
        <f t="shared" ref="BM12" si="629">MID($B11,BM$1,1)</f>
        <v>0</v>
      </c>
      <c r="BN12" s="1"/>
      <c r="BO12" s="1" t="str">
        <f>MID($BO11,BO$1,1)</f>
        <v>1</v>
      </c>
      <c r="BP12" s="1" t="str">
        <f t="shared" ref="BP12" si="630">MID($BO11,BP$1,1)</f>
        <v>1</v>
      </c>
      <c r="BQ12" s="1" t="str">
        <f t="shared" ref="BQ12" si="631">MID($BO11,BQ$1,1)</f>
        <v>0</v>
      </c>
      <c r="BR12" s="1" t="str">
        <f t="shared" ref="BR12" si="632">MID($BO11,BR$1,1)</f>
        <v>1</v>
      </c>
      <c r="BS12" s="1" t="str">
        <f t="shared" ref="BS12" si="633">MID($BO11,BS$1,1)</f>
        <v>1</v>
      </c>
      <c r="BT12" s="1" t="str">
        <f t="shared" ref="BT12" si="634">MID($BO11,BT$1,1)</f>
        <v>0</v>
      </c>
      <c r="BU12" s="1" t="str">
        <f t="shared" ref="BU12" si="635">MID($BO11,BU$1,1)</f>
        <v>0</v>
      </c>
      <c r="BV12" s="1" t="str">
        <f t="shared" ref="BV12" si="636">MID($BO11,BV$1,1)</f>
        <v>1</v>
      </c>
      <c r="BW12" s="1" t="str">
        <f t="shared" ref="BW12" si="637">MID($BO11,BW$1,1)</f>
        <v>0</v>
      </c>
      <c r="BX12" s="1" t="str">
        <f t="shared" ref="BX12" si="638">MID($BO11,BX$1,1)</f>
        <v>0</v>
      </c>
      <c r="BY12" s="1" t="str">
        <f t="shared" ref="BY12" si="639">MID($BO11,BY$1,1)</f>
        <v>0</v>
      </c>
      <c r="BZ12" s="1" t="str">
        <f t="shared" ref="BZ12" si="640">MID($BO11,BZ$1,1)</f>
        <v>1</v>
      </c>
      <c r="CA12" s="1" t="str">
        <f t="shared" ref="CA12" si="641">MID($BO11,CA$1,1)</f>
        <v>1</v>
      </c>
      <c r="CB12" s="1" t="str">
        <f t="shared" ref="CB12" si="642">MID($BO11,CB$1,1)</f>
        <v>0</v>
      </c>
      <c r="CC12" s="1" t="str">
        <f t="shared" ref="CC12" si="643">MID($BO11,CC$1,1)</f>
        <v>0</v>
      </c>
      <c r="CD12" s="1" t="str">
        <f t="shared" ref="CD12" si="644">MID($BO11,CD$1,1)</f>
        <v>0</v>
      </c>
      <c r="CE12" s="1" t="str">
        <f t="shared" ref="CE12" si="645">MID($BO11,CE$1,1)</f>
        <v>1</v>
      </c>
      <c r="CF12" s="1" t="str">
        <f t="shared" ref="CF12" si="646">MID($BO11,CF$1,1)</f>
        <v>1</v>
      </c>
      <c r="CG12" s="1" t="str">
        <f t="shared" ref="CG12" si="647">MID($BO11,CG$1,1)</f>
        <v>0</v>
      </c>
      <c r="CH12" s="1" t="str">
        <f t="shared" ref="CH12" si="648">MID($BO11,CH$1,1)</f>
        <v>1</v>
      </c>
      <c r="CI12" s="1" t="str">
        <f t="shared" ref="CI12" si="649">MID($BO11,CI$1,1)</f>
        <v>1</v>
      </c>
      <c r="CJ12" s="1" t="str">
        <f t="shared" ref="CJ12" si="650">MID($BO11,CJ$1,1)</f>
        <v>1</v>
      </c>
      <c r="CK12" s="1" t="str">
        <f t="shared" ref="CK12" si="651">MID($BO11,CK$1,1)</f>
        <v>1</v>
      </c>
      <c r="CL12" s="1" t="str">
        <f t="shared" ref="CL12" si="652">MID($BO11,CL$1,1)</f>
        <v>0</v>
      </c>
      <c r="CM12" s="1" t="str">
        <f t="shared" ref="CM12" si="653">MID($BO11,CM$1,1)</f>
        <v>0</v>
      </c>
      <c r="CN12" s="1" t="str">
        <f t="shared" ref="CN12" si="654">MID($BO11,CN$1,1)</f>
        <v>0</v>
      </c>
      <c r="CO12" s="1" t="str">
        <f t="shared" ref="CO12" si="655">MID($BO11,CO$1,1)</f>
        <v>1</v>
      </c>
      <c r="CP12" s="1" t="str">
        <f t="shared" ref="CP12" si="656">MID($BO11,CP$1,1)</f>
        <v>1</v>
      </c>
      <c r="CQ12" s="1" t="str">
        <f t="shared" ref="CQ12" si="657">MID($BO11,CQ$1,1)</f>
        <v>0</v>
      </c>
      <c r="CR12" s="1" t="str">
        <f t="shared" ref="CR12" si="658">MID($BO11,CR$1,1)</f>
        <v>1</v>
      </c>
      <c r="CS12" s="1" t="str">
        <f t="shared" ref="CS12" si="659">MID($BO11,CS$1,1)</f>
        <v>0</v>
      </c>
      <c r="CT12" s="1" t="str">
        <f t="shared" ref="CT12" si="660">MID($BO11,CT$1,1)</f>
        <v>1</v>
      </c>
      <c r="CU12" s="1" t="str">
        <f t="shared" ref="CU12" si="661">MID($BO11,CU$1,1)</f>
        <v>1</v>
      </c>
      <c r="CV12" s="1" t="str">
        <f t="shared" ref="CV12" si="662">MID($BO11,CV$1,1)</f>
        <v>1</v>
      </c>
      <c r="CW12" s="1" t="str">
        <f t="shared" ref="CW12" si="663">MID($BO11,CW$1,1)</f>
        <v>1</v>
      </c>
      <c r="CX12" s="1" t="str">
        <f t="shared" ref="CX12" si="664">MID($BO11,CX$1,1)</f>
        <v>1</v>
      </c>
      <c r="CY12" s="1" t="str">
        <f t="shared" ref="CY12" si="665">MID($BO11,CY$1,1)</f>
        <v>1</v>
      </c>
      <c r="CZ12" s="1" t="str">
        <f t="shared" ref="CZ12" si="666">MID($BO11,CZ$1,1)</f>
        <v>1</v>
      </c>
      <c r="DA12" s="1" t="str">
        <f t="shared" ref="DA12" si="667">MID($BO11,DA$1,1)</f>
        <v>0</v>
      </c>
      <c r="DB12" s="1" t="str">
        <f t="shared" ref="DB12" si="668">MID($BO11,DB$1,1)</f>
        <v>1</v>
      </c>
      <c r="DC12" s="1" t="str">
        <f t="shared" ref="DC12" si="669">MID($BO11,DC$1,1)</f>
        <v>0</v>
      </c>
      <c r="DD12" s="1" t="str">
        <f t="shared" ref="DD12" si="670">MID($BO11,DD$1,1)</f>
        <v>0</v>
      </c>
      <c r="DE12" s="1" t="str">
        <f t="shared" ref="DE12" si="671">MID($BO11,DE$1,1)</f>
        <v>1</v>
      </c>
      <c r="DF12" s="1" t="str">
        <f t="shared" ref="DF12" si="672">MID($BO11,DF$1,1)</f>
        <v>0</v>
      </c>
      <c r="DG12" s="1" t="str">
        <f t="shared" ref="DG12" si="673">MID($BO11,DG$1,1)</f>
        <v>0</v>
      </c>
      <c r="DH12" s="1" t="str">
        <f t="shared" ref="DH12" si="674">MID($BO11,DH$1,1)</f>
        <v>1</v>
      </c>
      <c r="DI12" s="1" t="str">
        <f t="shared" ref="DI12" si="675">MID($BO11,DI$1,1)</f>
        <v>1</v>
      </c>
      <c r="DJ12" s="1" t="str">
        <f t="shared" ref="DJ12" si="676">MID($BO11,DJ$1,1)</f>
        <v>1</v>
      </c>
      <c r="DK12" s="1" t="str">
        <f t="shared" ref="DK12" si="677">MID($BO11,DK$1,1)</f>
        <v>0</v>
      </c>
      <c r="DL12" s="1" t="str">
        <f t="shared" ref="DL12" si="678">MID($BO11,DL$1,1)</f>
        <v>0</v>
      </c>
      <c r="DM12" s="1" t="str">
        <f t="shared" ref="DM12" si="679">MID($BO11,DM$1,1)</f>
        <v>1</v>
      </c>
      <c r="DN12" s="1" t="str">
        <f t="shared" ref="DN12" si="680">MID($BO11,DN$1,1)</f>
        <v>1</v>
      </c>
      <c r="DO12" s="1" t="str">
        <f t="shared" ref="DO12" si="681">MID($BO11,DO$1,1)</f>
        <v>0</v>
      </c>
      <c r="DP12" s="1" t="str">
        <f t="shared" ref="DP12" si="682">MID($BO11,DP$1,1)</f>
        <v>0</v>
      </c>
      <c r="DQ12" s="1" t="str">
        <f t="shared" ref="DQ12" si="683">MID($BO11,DQ$1,1)</f>
        <v>1</v>
      </c>
      <c r="DR12" s="1" t="str">
        <f t="shared" ref="DR12" si="684">MID($BO11,DR$1,1)</f>
        <v>0</v>
      </c>
      <c r="DS12" s="1" t="str">
        <f t="shared" ref="DS12" si="685">MID($BO11,DS$1,1)</f>
        <v>0</v>
      </c>
      <c r="DT12" s="1" t="str">
        <f t="shared" ref="DT12" si="686">MID($BO11,DT$1,1)</f>
        <v>1</v>
      </c>
      <c r="DU12" s="1" t="str">
        <f t="shared" ref="DU12" si="687">MID($BO11,DU$1,1)</f>
        <v>0</v>
      </c>
      <c r="DV12" s="1" t="str">
        <f t="shared" ref="DV12" si="688">MID($BO11,DV$1,1)</f>
        <v>1</v>
      </c>
      <c r="DW12" s="1" t="str">
        <f t="shared" ref="DW12" si="689">MID($BO11,DW$1,1)</f>
        <v>0</v>
      </c>
      <c r="DX12" s="1" t="str">
        <f t="shared" ref="DX12" si="690">MID($BO11,DX$1,1)</f>
        <v>1</v>
      </c>
      <c r="DY12" s="1" t="str">
        <f t="shared" ref="DY12" si="691">MID($BO11,DY$1,1)</f>
        <v>0</v>
      </c>
      <c r="DZ12" s="1" t="str">
        <f t="shared" ref="DZ12" si="692">MID($BO11,DZ$1,1)</f>
        <v>0</v>
      </c>
      <c r="EB12" s="1">
        <f>IF(B12=BO12,0,1)</f>
        <v>0</v>
      </c>
      <c r="EC12" s="1">
        <f>IF(C12=BP12,0,1)</f>
        <v>0</v>
      </c>
      <c r="ED12" s="1">
        <f t="shared" ref="ED12" si="693">IF(D12=BQ12,0,1)</f>
        <v>0</v>
      </c>
      <c r="EE12" s="1">
        <f t="shared" ref="EE12" si="694">IF(E12=BR12,0,1)</f>
        <v>1</v>
      </c>
      <c r="EF12" s="1">
        <f t="shared" ref="EF12" si="695">IF(F12=BS12,0,1)</f>
        <v>0</v>
      </c>
      <c r="EG12" s="1">
        <f t="shared" ref="EG12" si="696">IF(G12=BT12,0,1)</f>
        <v>1</v>
      </c>
      <c r="EH12" s="1">
        <f t="shared" ref="EH12" si="697">IF(H12=BU12,0,1)</f>
        <v>1</v>
      </c>
      <c r="EI12" s="1">
        <f t="shared" ref="EI12" si="698">IF(I12=BV12,0,1)</f>
        <v>1</v>
      </c>
      <c r="EJ12" s="1">
        <f t="shared" ref="EJ12" si="699">IF(J12=BW12,0,1)</f>
        <v>0</v>
      </c>
      <c r="EK12" s="1">
        <f t="shared" ref="EK12" si="700">IF(K12=BX12,0,1)</f>
        <v>0</v>
      </c>
      <c r="EL12" s="1">
        <f t="shared" ref="EL12" si="701">IF(L12=BY12,0,1)</f>
        <v>1</v>
      </c>
      <c r="EM12" s="1">
        <f t="shared" ref="EM12" si="702">IF(M12=BZ12,0,1)</f>
        <v>0</v>
      </c>
      <c r="EN12" s="1">
        <f t="shared" ref="EN12" si="703">IF(N12=CA12,0,1)</f>
        <v>1</v>
      </c>
      <c r="EO12" s="1">
        <f t="shared" ref="EO12" si="704">IF(O12=CB12,0,1)</f>
        <v>1</v>
      </c>
      <c r="EP12" s="1">
        <f t="shared" ref="EP12" si="705">IF(P12=CC12,0,1)</f>
        <v>1</v>
      </c>
      <c r="EQ12" s="1">
        <f t="shared" ref="EQ12" si="706">IF(Q12=CD12,0,1)</f>
        <v>1</v>
      </c>
      <c r="ER12" s="1">
        <f t="shared" ref="ER12" si="707">IF(R12=CE12,0,1)</f>
        <v>0</v>
      </c>
      <c r="ES12" s="1">
        <f t="shared" ref="ES12" si="708">IF(S12=CF12,0,1)</f>
        <v>1</v>
      </c>
      <c r="ET12" s="1">
        <f t="shared" ref="ET12" si="709">IF(T12=CG12,0,1)</f>
        <v>0</v>
      </c>
      <c r="EU12" s="1">
        <f t="shared" ref="EU12" si="710">IF(U12=CH12,0,1)</f>
        <v>1</v>
      </c>
      <c r="EV12" s="1">
        <f t="shared" ref="EV12" si="711">IF(V12=CI12,0,1)</f>
        <v>1</v>
      </c>
      <c r="EW12" s="1">
        <f t="shared" ref="EW12" si="712">IF(W12=CJ12,0,1)</f>
        <v>0</v>
      </c>
      <c r="EX12" s="1">
        <f t="shared" ref="EX12" si="713">IF(X12=CK12,0,1)</f>
        <v>0</v>
      </c>
      <c r="EY12" s="1">
        <f t="shared" ref="EY12" si="714">IF(Y12=CL12,0,1)</f>
        <v>1</v>
      </c>
      <c r="EZ12" s="1">
        <f t="shared" ref="EZ12" si="715">IF(Z12=CM12,0,1)</f>
        <v>0</v>
      </c>
      <c r="FA12" s="1">
        <f t="shared" ref="FA12" si="716">IF(AA12=CN12,0,1)</f>
        <v>0</v>
      </c>
      <c r="FB12" s="1">
        <f t="shared" ref="FB12" si="717">IF(AB12=CO12,0,1)</f>
        <v>1</v>
      </c>
      <c r="FC12" s="1">
        <f t="shared" ref="FC12" si="718">IF(AC12=CP12,0,1)</f>
        <v>0</v>
      </c>
      <c r="FD12" s="1">
        <f t="shared" ref="FD12" si="719">IF(AD12=CQ12,0,1)</f>
        <v>0</v>
      </c>
      <c r="FE12" s="1">
        <f t="shared" ref="FE12" si="720">IF(AE12=CR12,0,1)</f>
        <v>0</v>
      </c>
      <c r="FF12" s="1">
        <f t="shared" ref="FF12" si="721">IF(AF12=CS12,0,1)</f>
        <v>0</v>
      </c>
      <c r="FG12" s="1">
        <f t="shared" ref="FG12" si="722">IF(AG12=CT12,0,1)</f>
        <v>0</v>
      </c>
      <c r="FH12" s="1">
        <f t="shared" ref="FH12" si="723">IF(AH12=CU12,0,1)</f>
        <v>0</v>
      </c>
      <c r="FI12" s="1">
        <f t="shared" ref="FI12" si="724">IF(AI12=CV12,0,1)</f>
        <v>0</v>
      </c>
      <c r="FJ12" s="1">
        <f t="shared" ref="FJ12" si="725">IF(AJ12=CW12,0,1)</f>
        <v>0</v>
      </c>
      <c r="FK12" s="1">
        <f t="shared" ref="FK12" si="726">IF(AK12=CX12,0,1)</f>
        <v>0</v>
      </c>
      <c r="FL12" s="1">
        <f t="shared" ref="FL12" si="727">IF(AL12=CY12,0,1)</f>
        <v>0</v>
      </c>
      <c r="FM12" s="1">
        <f t="shared" ref="FM12" si="728">IF(AM12=CZ12,0,1)</f>
        <v>0</v>
      </c>
      <c r="FN12" s="1">
        <f t="shared" ref="FN12" si="729">IF(AN12=DA12,0,1)</f>
        <v>1</v>
      </c>
      <c r="FO12" s="1">
        <f t="shared" ref="FO12" si="730">IF(AO12=DB12,0,1)</f>
        <v>1</v>
      </c>
      <c r="FP12" s="1">
        <f t="shared" ref="FP12" si="731">IF(AP12=DC12,0,1)</f>
        <v>0</v>
      </c>
      <c r="FQ12" s="1">
        <f t="shared" ref="FQ12" si="732">IF(AQ12=DD12,0,1)</f>
        <v>0</v>
      </c>
      <c r="FR12" s="1">
        <f t="shared" ref="FR12" si="733">IF(AR12=DE12,0,1)</f>
        <v>1</v>
      </c>
      <c r="FS12" s="1">
        <f t="shared" ref="FS12" si="734">IF(AS12=DF12,0,1)</f>
        <v>1</v>
      </c>
      <c r="FT12" s="1">
        <f t="shared" ref="FT12" si="735">IF(AT12=DG12,0,1)</f>
        <v>0</v>
      </c>
      <c r="FU12" s="1">
        <f t="shared" ref="FU12" si="736">IF(AU12=DH12,0,1)</f>
        <v>1</v>
      </c>
      <c r="FV12" s="1">
        <f t="shared" ref="FV12" si="737">IF(AV12=DI12,0,1)</f>
        <v>0</v>
      </c>
      <c r="FW12" s="1">
        <f t="shared" ref="FW12" si="738">IF(AW12=DJ12,0,1)</f>
        <v>0</v>
      </c>
      <c r="FX12" s="1">
        <f t="shared" ref="FX12" si="739">IF(AX12=DK12,0,1)</f>
        <v>1</v>
      </c>
      <c r="FY12" s="1">
        <f t="shared" ref="FY12" si="740">IF(AY12=DL12,0,1)</f>
        <v>0</v>
      </c>
      <c r="FZ12" s="1">
        <f t="shared" ref="FZ12" si="741">IF(AZ12=DM12,0,1)</f>
        <v>1</v>
      </c>
      <c r="GA12" s="1">
        <f t="shared" ref="GA12" si="742">IF(BA12=DN12,0,1)</f>
        <v>0</v>
      </c>
      <c r="GB12" s="1">
        <f t="shared" ref="GB12" si="743">IF(BB12=DO12,0,1)</f>
        <v>1</v>
      </c>
      <c r="GC12" s="1">
        <f t="shared" ref="GC12" si="744">IF(BC12=DP12,0,1)</f>
        <v>1</v>
      </c>
      <c r="GD12" s="1">
        <f t="shared" ref="GD12" si="745">IF(BD12=DQ12,0,1)</f>
        <v>0</v>
      </c>
      <c r="GE12" s="1">
        <f t="shared" ref="GE12" si="746">IF(BE12=DR12,0,1)</f>
        <v>1</v>
      </c>
      <c r="GF12" s="1">
        <f t="shared" ref="GF12" si="747">IF(BF12=DS12,0,1)</f>
        <v>1</v>
      </c>
      <c r="GG12" s="1">
        <f t="shared" ref="GG12" si="748">IF(BG12=DT12,0,1)</f>
        <v>0</v>
      </c>
      <c r="GH12" s="1">
        <f t="shared" ref="GH12" si="749">IF(BH12=DU12,0,1)</f>
        <v>1</v>
      </c>
      <c r="GI12" s="1">
        <f t="shared" ref="GI12" si="750">IF(BI12=DV12,0,1)</f>
        <v>0</v>
      </c>
      <c r="GJ12" s="1">
        <f t="shared" ref="GJ12" si="751">IF(BJ12=DW12,0,1)</f>
        <v>1</v>
      </c>
      <c r="GK12" s="1">
        <f t="shared" ref="GK12" si="752">IF(BK12=DX12,0,1)</f>
        <v>0</v>
      </c>
      <c r="GL12" s="1">
        <f t="shared" ref="GL12" si="753">IF(BL12=DY12,0,1)</f>
        <v>0</v>
      </c>
      <c r="GM12" s="1">
        <f t="shared" ref="GM12" si="754">IF(BM12=DZ12,0,1)</f>
        <v>0</v>
      </c>
      <c r="GO12" s="27">
        <f>SUM(EB12:GM12)</f>
        <v>27</v>
      </c>
      <c r="GT12" s="3">
        <v>9</v>
      </c>
      <c r="GU12" s="5" t="s">
        <v>83</v>
      </c>
      <c r="GV12" s="5"/>
      <c r="GW12" s="28" t="s">
        <v>84</v>
      </c>
    </row>
    <row r="13" spans="1:205">
      <c r="A13" s="2">
        <v>5</v>
      </c>
      <c r="B13" t="str">
        <f>VLOOKUP(A13,MESSAGE,2,FALSE)</f>
        <v>1100001010000101011111101111110111001110001101111000011100010101</v>
      </c>
      <c r="BO13" t="str">
        <f>VLOOKUP(A13,MESSAGE, 4,FALSE)</f>
        <v>0110001010010101110000000100011011011001000110001101111000110101</v>
      </c>
      <c r="GT13" s="3">
        <v>10</v>
      </c>
      <c r="GU13" s="5" t="s">
        <v>85</v>
      </c>
      <c r="GV13" s="5"/>
      <c r="GW13" s="28" t="s">
        <v>86</v>
      </c>
    </row>
    <row r="14" spans="1:205">
      <c r="A14" s="2"/>
      <c r="B14" s="1" t="str">
        <f>MID($B13,B$1,1)</f>
        <v>1</v>
      </c>
      <c r="C14" s="1" t="str">
        <f t="shared" ref="C14" si="755">MID($B13,C$1,1)</f>
        <v>1</v>
      </c>
      <c r="D14" s="1" t="str">
        <f t="shared" ref="D14" si="756">MID($B13,D$1,1)</f>
        <v>0</v>
      </c>
      <c r="E14" s="1" t="str">
        <f t="shared" ref="E14" si="757">MID($B13,E$1,1)</f>
        <v>0</v>
      </c>
      <c r="F14" s="1" t="str">
        <f t="shared" ref="F14" si="758">MID($B13,F$1,1)</f>
        <v>0</v>
      </c>
      <c r="G14" s="1" t="str">
        <f t="shared" ref="G14" si="759">MID($B13,G$1,1)</f>
        <v>0</v>
      </c>
      <c r="H14" s="1" t="str">
        <f t="shared" ref="H14" si="760">MID($B13,H$1,1)</f>
        <v>1</v>
      </c>
      <c r="I14" s="1" t="str">
        <f t="shared" ref="I14" si="761">MID($B13,I$1,1)</f>
        <v>0</v>
      </c>
      <c r="J14" s="1" t="str">
        <f t="shared" ref="J14" si="762">MID($B13,J$1,1)</f>
        <v>1</v>
      </c>
      <c r="K14" s="1" t="str">
        <f t="shared" ref="K14" si="763">MID($B13,K$1,1)</f>
        <v>0</v>
      </c>
      <c r="L14" s="1" t="str">
        <f t="shared" ref="L14" si="764">MID($B13,L$1,1)</f>
        <v>0</v>
      </c>
      <c r="M14" s="1" t="str">
        <f t="shared" ref="M14" si="765">MID($B13,M$1,1)</f>
        <v>0</v>
      </c>
      <c r="N14" s="1" t="str">
        <f t="shared" ref="N14" si="766">MID($B13,N$1,1)</f>
        <v>0</v>
      </c>
      <c r="O14" s="1" t="str">
        <f t="shared" ref="O14" si="767">MID($B13,O$1,1)</f>
        <v>1</v>
      </c>
      <c r="P14" s="1" t="str">
        <f t="shared" ref="P14" si="768">MID($B13,P$1,1)</f>
        <v>0</v>
      </c>
      <c r="Q14" s="1" t="str">
        <f t="shared" ref="Q14" si="769">MID($B13,Q$1,1)</f>
        <v>1</v>
      </c>
      <c r="R14" s="1" t="str">
        <f t="shared" ref="R14" si="770">MID($B13,R$1,1)</f>
        <v>0</v>
      </c>
      <c r="S14" s="1" t="str">
        <f t="shared" ref="S14" si="771">MID($B13,S$1,1)</f>
        <v>1</v>
      </c>
      <c r="T14" s="1" t="str">
        <f t="shared" ref="T14" si="772">MID($B13,T$1,1)</f>
        <v>1</v>
      </c>
      <c r="U14" s="1" t="str">
        <f t="shared" ref="U14" si="773">MID($B13,U$1,1)</f>
        <v>1</v>
      </c>
      <c r="V14" s="1" t="str">
        <f t="shared" ref="V14" si="774">MID($B13,V$1,1)</f>
        <v>1</v>
      </c>
      <c r="W14" s="1" t="str">
        <f t="shared" ref="W14" si="775">MID($B13,W$1,1)</f>
        <v>1</v>
      </c>
      <c r="X14" s="1" t="str">
        <f t="shared" ref="X14" si="776">MID($B13,X$1,1)</f>
        <v>1</v>
      </c>
      <c r="Y14" s="1" t="str">
        <f t="shared" ref="Y14" si="777">MID($B13,Y$1,1)</f>
        <v>0</v>
      </c>
      <c r="Z14" s="1" t="str">
        <f t="shared" ref="Z14" si="778">MID($B13,Z$1,1)</f>
        <v>1</v>
      </c>
      <c r="AA14" s="1" t="str">
        <f t="shared" ref="AA14" si="779">MID($B13,AA$1,1)</f>
        <v>1</v>
      </c>
      <c r="AB14" s="1" t="str">
        <f t="shared" ref="AB14" si="780">MID($B13,AB$1,1)</f>
        <v>1</v>
      </c>
      <c r="AC14" s="1" t="str">
        <f t="shared" ref="AC14" si="781">MID($B13,AC$1,1)</f>
        <v>1</v>
      </c>
      <c r="AD14" s="1" t="str">
        <f t="shared" ref="AD14" si="782">MID($B13,AD$1,1)</f>
        <v>1</v>
      </c>
      <c r="AE14" s="1" t="str">
        <f t="shared" ref="AE14" si="783">MID($B13,AE$1,1)</f>
        <v>1</v>
      </c>
      <c r="AF14" s="1" t="str">
        <f t="shared" ref="AF14" si="784">MID($B13,AF$1,1)</f>
        <v>0</v>
      </c>
      <c r="AG14" s="1" t="str">
        <f t="shared" ref="AG14" si="785">MID($B13,AG$1,1)</f>
        <v>1</v>
      </c>
      <c r="AH14" s="1" t="str">
        <f t="shared" ref="AH14" si="786">MID($B13,AH$1,1)</f>
        <v>1</v>
      </c>
      <c r="AI14" s="1" t="str">
        <f t="shared" ref="AI14" si="787">MID($B13,AI$1,1)</f>
        <v>1</v>
      </c>
      <c r="AJ14" s="1" t="str">
        <f t="shared" ref="AJ14" si="788">MID($B13,AJ$1,1)</f>
        <v>0</v>
      </c>
      <c r="AK14" s="1" t="str">
        <f t="shared" ref="AK14" si="789">MID($B13,AK$1,1)</f>
        <v>0</v>
      </c>
      <c r="AL14" s="1" t="str">
        <f t="shared" ref="AL14" si="790">MID($B13,AL$1,1)</f>
        <v>1</v>
      </c>
      <c r="AM14" s="1" t="str">
        <f t="shared" ref="AM14" si="791">MID($B13,AM$1,1)</f>
        <v>1</v>
      </c>
      <c r="AN14" s="1" t="str">
        <f t="shared" ref="AN14" si="792">MID($B13,AN$1,1)</f>
        <v>1</v>
      </c>
      <c r="AO14" s="1" t="str">
        <f t="shared" ref="AO14" si="793">MID($B13,AO$1,1)</f>
        <v>0</v>
      </c>
      <c r="AP14" s="1" t="str">
        <f t="shared" ref="AP14" si="794">MID($B13,AP$1,1)</f>
        <v>0</v>
      </c>
      <c r="AQ14" s="1" t="str">
        <f t="shared" ref="AQ14" si="795">MID($B13,AQ$1,1)</f>
        <v>0</v>
      </c>
      <c r="AR14" s="1" t="str">
        <f t="shared" ref="AR14" si="796">MID($B13,AR$1,1)</f>
        <v>1</v>
      </c>
      <c r="AS14" s="1" t="str">
        <f t="shared" ref="AS14" si="797">MID($B13,AS$1,1)</f>
        <v>1</v>
      </c>
      <c r="AT14" s="1" t="str">
        <f t="shared" ref="AT14" si="798">MID($B13,AT$1,1)</f>
        <v>0</v>
      </c>
      <c r="AU14" s="1" t="str">
        <f t="shared" ref="AU14" si="799">MID($B13,AU$1,1)</f>
        <v>1</v>
      </c>
      <c r="AV14" s="1" t="str">
        <f t="shared" ref="AV14" si="800">MID($B13,AV$1,1)</f>
        <v>1</v>
      </c>
      <c r="AW14" s="1" t="str">
        <f t="shared" ref="AW14" si="801">MID($B13,AW$1,1)</f>
        <v>1</v>
      </c>
      <c r="AX14" s="1" t="str">
        <f t="shared" ref="AX14" si="802">MID($B13,AX$1,1)</f>
        <v>1</v>
      </c>
      <c r="AY14" s="1" t="str">
        <f t="shared" ref="AY14" si="803">MID($B13,AY$1,1)</f>
        <v>0</v>
      </c>
      <c r="AZ14" s="1" t="str">
        <f t="shared" ref="AZ14" si="804">MID($B13,AZ$1,1)</f>
        <v>0</v>
      </c>
      <c r="BA14" s="1" t="str">
        <f t="shared" ref="BA14" si="805">MID($B13,BA$1,1)</f>
        <v>0</v>
      </c>
      <c r="BB14" s="1" t="str">
        <f t="shared" ref="BB14" si="806">MID($B13,BB$1,1)</f>
        <v>0</v>
      </c>
      <c r="BC14" s="1" t="str">
        <f t="shared" ref="BC14" si="807">MID($B13,BC$1,1)</f>
        <v>1</v>
      </c>
      <c r="BD14" s="1" t="str">
        <f t="shared" ref="BD14" si="808">MID($B13,BD$1,1)</f>
        <v>1</v>
      </c>
      <c r="BE14" s="1" t="str">
        <f t="shared" ref="BE14" si="809">MID($B13,BE$1,1)</f>
        <v>1</v>
      </c>
      <c r="BF14" s="1" t="str">
        <f t="shared" ref="BF14" si="810">MID($B13,BF$1,1)</f>
        <v>0</v>
      </c>
      <c r="BG14" s="1" t="str">
        <f t="shared" ref="BG14" si="811">MID($B13,BG$1,1)</f>
        <v>0</v>
      </c>
      <c r="BH14" s="1" t="str">
        <f t="shared" ref="BH14" si="812">MID($B13,BH$1,1)</f>
        <v>0</v>
      </c>
      <c r="BI14" s="1" t="str">
        <f t="shared" ref="BI14" si="813">MID($B13,BI$1,1)</f>
        <v>1</v>
      </c>
      <c r="BJ14" s="1" t="str">
        <f t="shared" ref="BJ14" si="814">MID($B13,BJ$1,1)</f>
        <v>0</v>
      </c>
      <c r="BK14" s="1" t="str">
        <f t="shared" ref="BK14" si="815">MID($B13,BK$1,1)</f>
        <v>1</v>
      </c>
      <c r="BL14" s="1" t="str">
        <f t="shared" ref="BL14" si="816">MID($B13,BL$1,1)</f>
        <v>0</v>
      </c>
      <c r="BM14" s="1" t="str">
        <f t="shared" ref="BM14" si="817">MID($B13,BM$1,1)</f>
        <v>1</v>
      </c>
      <c r="BN14" s="1"/>
      <c r="BO14" s="1" t="str">
        <f>MID($BO13,BO$1,1)</f>
        <v>0</v>
      </c>
      <c r="BP14" s="1" t="str">
        <f t="shared" ref="BP14" si="818">MID($BO13,BP$1,1)</f>
        <v>1</v>
      </c>
      <c r="BQ14" s="1" t="str">
        <f t="shared" ref="BQ14" si="819">MID($BO13,BQ$1,1)</f>
        <v>1</v>
      </c>
      <c r="BR14" s="1" t="str">
        <f t="shared" ref="BR14" si="820">MID($BO13,BR$1,1)</f>
        <v>0</v>
      </c>
      <c r="BS14" s="1" t="str">
        <f t="shared" ref="BS14" si="821">MID($BO13,BS$1,1)</f>
        <v>0</v>
      </c>
      <c r="BT14" s="1" t="str">
        <f t="shared" ref="BT14" si="822">MID($BO13,BT$1,1)</f>
        <v>0</v>
      </c>
      <c r="BU14" s="1" t="str">
        <f t="shared" ref="BU14" si="823">MID($BO13,BU$1,1)</f>
        <v>1</v>
      </c>
      <c r="BV14" s="1" t="str">
        <f t="shared" ref="BV14" si="824">MID($BO13,BV$1,1)</f>
        <v>0</v>
      </c>
      <c r="BW14" s="1" t="str">
        <f t="shared" ref="BW14" si="825">MID($BO13,BW$1,1)</f>
        <v>1</v>
      </c>
      <c r="BX14" s="1" t="str">
        <f t="shared" ref="BX14" si="826">MID($BO13,BX$1,1)</f>
        <v>0</v>
      </c>
      <c r="BY14" s="1" t="str">
        <f t="shared" ref="BY14" si="827">MID($BO13,BY$1,1)</f>
        <v>0</v>
      </c>
      <c r="BZ14" s="1" t="str">
        <f t="shared" ref="BZ14" si="828">MID($BO13,BZ$1,1)</f>
        <v>1</v>
      </c>
      <c r="CA14" s="1" t="str">
        <f t="shared" ref="CA14" si="829">MID($BO13,CA$1,1)</f>
        <v>0</v>
      </c>
      <c r="CB14" s="1" t="str">
        <f t="shared" ref="CB14" si="830">MID($BO13,CB$1,1)</f>
        <v>1</v>
      </c>
      <c r="CC14" s="1" t="str">
        <f t="shared" ref="CC14" si="831">MID($BO13,CC$1,1)</f>
        <v>0</v>
      </c>
      <c r="CD14" s="1" t="str">
        <f t="shared" ref="CD14" si="832">MID($BO13,CD$1,1)</f>
        <v>1</v>
      </c>
      <c r="CE14" s="1" t="str">
        <f t="shared" ref="CE14" si="833">MID($BO13,CE$1,1)</f>
        <v>1</v>
      </c>
      <c r="CF14" s="1" t="str">
        <f t="shared" ref="CF14" si="834">MID($BO13,CF$1,1)</f>
        <v>1</v>
      </c>
      <c r="CG14" s="1" t="str">
        <f t="shared" ref="CG14" si="835">MID($BO13,CG$1,1)</f>
        <v>0</v>
      </c>
      <c r="CH14" s="1" t="str">
        <f t="shared" ref="CH14" si="836">MID($BO13,CH$1,1)</f>
        <v>0</v>
      </c>
      <c r="CI14" s="1" t="str">
        <f t="shared" ref="CI14" si="837">MID($BO13,CI$1,1)</f>
        <v>0</v>
      </c>
      <c r="CJ14" s="1" t="str">
        <f t="shared" ref="CJ14" si="838">MID($BO13,CJ$1,1)</f>
        <v>0</v>
      </c>
      <c r="CK14" s="1" t="str">
        <f t="shared" ref="CK14" si="839">MID($BO13,CK$1,1)</f>
        <v>0</v>
      </c>
      <c r="CL14" s="1" t="str">
        <f t="shared" ref="CL14" si="840">MID($BO13,CL$1,1)</f>
        <v>0</v>
      </c>
      <c r="CM14" s="1" t="str">
        <f t="shared" ref="CM14" si="841">MID($BO13,CM$1,1)</f>
        <v>0</v>
      </c>
      <c r="CN14" s="1" t="str">
        <f t="shared" ref="CN14" si="842">MID($BO13,CN$1,1)</f>
        <v>1</v>
      </c>
      <c r="CO14" s="1" t="str">
        <f t="shared" ref="CO14" si="843">MID($BO13,CO$1,1)</f>
        <v>0</v>
      </c>
      <c r="CP14" s="1" t="str">
        <f t="shared" ref="CP14" si="844">MID($BO13,CP$1,1)</f>
        <v>0</v>
      </c>
      <c r="CQ14" s="1" t="str">
        <f t="shared" ref="CQ14" si="845">MID($BO13,CQ$1,1)</f>
        <v>0</v>
      </c>
      <c r="CR14" s="1" t="str">
        <f t="shared" ref="CR14" si="846">MID($BO13,CR$1,1)</f>
        <v>1</v>
      </c>
      <c r="CS14" s="1" t="str">
        <f t="shared" ref="CS14" si="847">MID($BO13,CS$1,1)</f>
        <v>1</v>
      </c>
      <c r="CT14" s="1" t="str">
        <f t="shared" ref="CT14" si="848">MID($BO13,CT$1,1)</f>
        <v>0</v>
      </c>
      <c r="CU14" s="1" t="str">
        <f t="shared" ref="CU14" si="849">MID($BO13,CU$1,1)</f>
        <v>1</v>
      </c>
      <c r="CV14" s="1" t="str">
        <f t="shared" ref="CV14" si="850">MID($BO13,CV$1,1)</f>
        <v>1</v>
      </c>
      <c r="CW14" s="1" t="str">
        <f t="shared" ref="CW14" si="851">MID($BO13,CW$1,1)</f>
        <v>0</v>
      </c>
      <c r="CX14" s="1" t="str">
        <f t="shared" ref="CX14" si="852">MID($BO13,CX$1,1)</f>
        <v>1</v>
      </c>
      <c r="CY14" s="1" t="str">
        <f t="shared" ref="CY14" si="853">MID($BO13,CY$1,1)</f>
        <v>1</v>
      </c>
      <c r="CZ14" s="1" t="str">
        <f t="shared" ref="CZ14" si="854">MID($BO13,CZ$1,1)</f>
        <v>0</v>
      </c>
      <c r="DA14" s="1" t="str">
        <f t="shared" ref="DA14" si="855">MID($BO13,DA$1,1)</f>
        <v>0</v>
      </c>
      <c r="DB14" s="1" t="str">
        <f t="shared" ref="DB14" si="856">MID($BO13,DB$1,1)</f>
        <v>1</v>
      </c>
      <c r="DC14" s="1" t="str">
        <f t="shared" ref="DC14" si="857">MID($BO13,DC$1,1)</f>
        <v>0</v>
      </c>
      <c r="DD14" s="1" t="str">
        <f t="shared" ref="DD14" si="858">MID($BO13,DD$1,1)</f>
        <v>0</v>
      </c>
      <c r="DE14" s="1" t="str">
        <f t="shared" ref="DE14" si="859">MID($BO13,DE$1,1)</f>
        <v>0</v>
      </c>
      <c r="DF14" s="1" t="str">
        <f t="shared" ref="DF14" si="860">MID($BO13,DF$1,1)</f>
        <v>1</v>
      </c>
      <c r="DG14" s="1" t="str">
        <f t="shared" ref="DG14" si="861">MID($BO13,DG$1,1)</f>
        <v>1</v>
      </c>
      <c r="DH14" s="1" t="str">
        <f t="shared" ref="DH14" si="862">MID($BO13,DH$1,1)</f>
        <v>0</v>
      </c>
      <c r="DI14" s="1" t="str">
        <f t="shared" ref="DI14" si="863">MID($BO13,DI$1,1)</f>
        <v>0</v>
      </c>
      <c r="DJ14" s="1" t="str">
        <f t="shared" ref="DJ14" si="864">MID($BO13,DJ$1,1)</f>
        <v>0</v>
      </c>
      <c r="DK14" s="1" t="str">
        <f t="shared" ref="DK14" si="865">MID($BO13,DK$1,1)</f>
        <v>1</v>
      </c>
      <c r="DL14" s="1" t="str">
        <f t="shared" ref="DL14" si="866">MID($BO13,DL$1,1)</f>
        <v>1</v>
      </c>
      <c r="DM14" s="1" t="str">
        <f t="shared" ref="DM14" si="867">MID($BO13,DM$1,1)</f>
        <v>0</v>
      </c>
      <c r="DN14" s="1" t="str">
        <f t="shared" ref="DN14" si="868">MID($BO13,DN$1,1)</f>
        <v>1</v>
      </c>
      <c r="DO14" s="1" t="str">
        <f t="shared" ref="DO14" si="869">MID($BO13,DO$1,1)</f>
        <v>1</v>
      </c>
      <c r="DP14" s="1" t="str">
        <f t="shared" ref="DP14" si="870">MID($BO13,DP$1,1)</f>
        <v>1</v>
      </c>
      <c r="DQ14" s="1" t="str">
        <f t="shared" ref="DQ14" si="871">MID($BO13,DQ$1,1)</f>
        <v>1</v>
      </c>
      <c r="DR14" s="1" t="str">
        <f t="shared" ref="DR14" si="872">MID($BO13,DR$1,1)</f>
        <v>0</v>
      </c>
      <c r="DS14" s="1" t="str">
        <f t="shared" ref="DS14" si="873">MID($BO13,DS$1,1)</f>
        <v>0</v>
      </c>
      <c r="DT14" s="1" t="str">
        <f t="shared" ref="DT14" si="874">MID($BO13,DT$1,1)</f>
        <v>0</v>
      </c>
      <c r="DU14" s="1" t="str">
        <f t="shared" ref="DU14" si="875">MID($BO13,DU$1,1)</f>
        <v>1</v>
      </c>
      <c r="DV14" s="1" t="str">
        <f t="shared" ref="DV14" si="876">MID($BO13,DV$1,1)</f>
        <v>1</v>
      </c>
      <c r="DW14" s="1" t="str">
        <f t="shared" ref="DW14" si="877">MID($BO13,DW$1,1)</f>
        <v>0</v>
      </c>
      <c r="DX14" s="1" t="str">
        <f t="shared" ref="DX14" si="878">MID($BO13,DX$1,1)</f>
        <v>1</v>
      </c>
      <c r="DY14" s="1" t="str">
        <f t="shared" ref="DY14" si="879">MID($BO13,DY$1,1)</f>
        <v>0</v>
      </c>
      <c r="DZ14" s="1" t="str">
        <f t="shared" ref="DZ14" si="880">MID($BO13,DZ$1,1)</f>
        <v>1</v>
      </c>
      <c r="EB14" s="1">
        <f>IF(B14=BO14,0,1)</f>
        <v>1</v>
      </c>
      <c r="EC14" s="1">
        <f>IF(C14=BP14,0,1)</f>
        <v>0</v>
      </c>
      <c r="ED14" s="1">
        <f t="shared" ref="ED14" si="881">IF(D14=BQ14,0,1)</f>
        <v>1</v>
      </c>
      <c r="EE14" s="1">
        <f t="shared" ref="EE14" si="882">IF(E14=BR14,0,1)</f>
        <v>0</v>
      </c>
      <c r="EF14" s="1">
        <f t="shared" ref="EF14" si="883">IF(F14=BS14,0,1)</f>
        <v>0</v>
      </c>
      <c r="EG14" s="1">
        <f t="shared" ref="EG14" si="884">IF(G14=BT14,0,1)</f>
        <v>0</v>
      </c>
      <c r="EH14" s="1">
        <f t="shared" ref="EH14" si="885">IF(H14=BU14,0,1)</f>
        <v>0</v>
      </c>
      <c r="EI14" s="1">
        <f t="shared" ref="EI14" si="886">IF(I14=BV14,0,1)</f>
        <v>0</v>
      </c>
      <c r="EJ14" s="1">
        <f t="shared" ref="EJ14" si="887">IF(J14=BW14,0,1)</f>
        <v>0</v>
      </c>
      <c r="EK14" s="1">
        <f t="shared" ref="EK14" si="888">IF(K14=BX14,0,1)</f>
        <v>0</v>
      </c>
      <c r="EL14" s="1">
        <f t="shared" ref="EL14" si="889">IF(L14=BY14,0,1)</f>
        <v>0</v>
      </c>
      <c r="EM14" s="1">
        <f t="shared" ref="EM14" si="890">IF(M14=BZ14,0,1)</f>
        <v>1</v>
      </c>
      <c r="EN14" s="1">
        <f t="shared" ref="EN14" si="891">IF(N14=CA14,0,1)</f>
        <v>0</v>
      </c>
      <c r="EO14" s="1">
        <f t="shared" ref="EO14" si="892">IF(O14=CB14,0,1)</f>
        <v>0</v>
      </c>
      <c r="EP14" s="1">
        <f t="shared" ref="EP14" si="893">IF(P14=CC14,0,1)</f>
        <v>0</v>
      </c>
      <c r="EQ14" s="1">
        <f t="shared" ref="EQ14" si="894">IF(Q14=CD14,0,1)</f>
        <v>0</v>
      </c>
      <c r="ER14" s="1">
        <f t="shared" ref="ER14" si="895">IF(R14=CE14,0,1)</f>
        <v>1</v>
      </c>
      <c r="ES14" s="1">
        <f t="shared" ref="ES14" si="896">IF(S14=CF14,0,1)</f>
        <v>0</v>
      </c>
      <c r="ET14" s="1">
        <f t="shared" ref="ET14" si="897">IF(T14=CG14,0,1)</f>
        <v>1</v>
      </c>
      <c r="EU14" s="1">
        <f t="shared" ref="EU14" si="898">IF(U14=CH14,0,1)</f>
        <v>1</v>
      </c>
      <c r="EV14" s="1">
        <f t="shared" ref="EV14" si="899">IF(V14=CI14,0,1)</f>
        <v>1</v>
      </c>
      <c r="EW14" s="1">
        <f t="shared" ref="EW14" si="900">IF(W14=CJ14,0,1)</f>
        <v>1</v>
      </c>
      <c r="EX14" s="1">
        <f t="shared" ref="EX14" si="901">IF(X14=CK14,0,1)</f>
        <v>1</v>
      </c>
      <c r="EY14" s="1">
        <f t="shared" ref="EY14" si="902">IF(Y14=CL14,0,1)</f>
        <v>0</v>
      </c>
      <c r="EZ14" s="1">
        <f t="shared" ref="EZ14" si="903">IF(Z14=CM14,0,1)</f>
        <v>1</v>
      </c>
      <c r="FA14" s="1">
        <f t="shared" ref="FA14" si="904">IF(AA14=CN14,0,1)</f>
        <v>0</v>
      </c>
      <c r="FB14" s="1">
        <f t="shared" ref="FB14" si="905">IF(AB14=CO14,0,1)</f>
        <v>1</v>
      </c>
      <c r="FC14" s="1">
        <f t="shared" ref="FC14" si="906">IF(AC14=CP14,0,1)</f>
        <v>1</v>
      </c>
      <c r="FD14" s="1">
        <f t="shared" ref="FD14" si="907">IF(AD14=CQ14,0,1)</f>
        <v>1</v>
      </c>
      <c r="FE14" s="1">
        <f t="shared" ref="FE14" si="908">IF(AE14=CR14,0,1)</f>
        <v>0</v>
      </c>
      <c r="FF14" s="1">
        <f t="shared" ref="FF14" si="909">IF(AF14=CS14,0,1)</f>
        <v>1</v>
      </c>
      <c r="FG14" s="1">
        <f t="shared" ref="FG14" si="910">IF(AG14=CT14,0,1)</f>
        <v>1</v>
      </c>
      <c r="FH14" s="1">
        <f t="shared" ref="FH14" si="911">IF(AH14=CU14,0,1)</f>
        <v>0</v>
      </c>
      <c r="FI14" s="1">
        <f t="shared" ref="FI14" si="912">IF(AI14=CV14,0,1)</f>
        <v>0</v>
      </c>
      <c r="FJ14" s="1">
        <f t="shared" ref="FJ14" si="913">IF(AJ14=CW14,0,1)</f>
        <v>0</v>
      </c>
      <c r="FK14" s="1">
        <f t="shared" ref="FK14" si="914">IF(AK14=CX14,0,1)</f>
        <v>1</v>
      </c>
      <c r="FL14" s="1">
        <f t="shared" ref="FL14" si="915">IF(AL14=CY14,0,1)</f>
        <v>0</v>
      </c>
      <c r="FM14" s="1">
        <f t="shared" ref="FM14" si="916">IF(AM14=CZ14,0,1)</f>
        <v>1</v>
      </c>
      <c r="FN14" s="1">
        <f t="shared" ref="FN14" si="917">IF(AN14=DA14,0,1)</f>
        <v>1</v>
      </c>
      <c r="FO14" s="1">
        <f t="shared" ref="FO14" si="918">IF(AO14=DB14,0,1)</f>
        <v>1</v>
      </c>
      <c r="FP14" s="1">
        <f t="shared" ref="FP14" si="919">IF(AP14=DC14,0,1)</f>
        <v>0</v>
      </c>
      <c r="FQ14" s="1">
        <f t="shared" ref="FQ14" si="920">IF(AQ14=DD14,0,1)</f>
        <v>0</v>
      </c>
      <c r="FR14" s="1">
        <f t="shared" ref="FR14" si="921">IF(AR14=DE14,0,1)</f>
        <v>1</v>
      </c>
      <c r="FS14" s="1">
        <f t="shared" ref="FS14" si="922">IF(AS14=DF14,0,1)</f>
        <v>0</v>
      </c>
      <c r="FT14" s="1">
        <f t="shared" ref="FT14" si="923">IF(AT14=DG14,0,1)</f>
        <v>1</v>
      </c>
      <c r="FU14" s="1">
        <f t="shared" ref="FU14" si="924">IF(AU14=DH14,0,1)</f>
        <v>1</v>
      </c>
      <c r="FV14" s="1">
        <f t="shared" ref="FV14" si="925">IF(AV14=DI14,0,1)</f>
        <v>1</v>
      </c>
      <c r="FW14" s="1">
        <f t="shared" ref="FW14" si="926">IF(AW14=DJ14,0,1)</f>
        <v>1</v>
      </c>
      <c r="FX14" s="1">
        <f t="shared" ref="FX14" si="927">IF(AX14=DK14,0,1)</f>
        <v>0</v>
      </c>
      <c r="FY14" s="1">
        <f t="shared" ref="FY14" si="928">IF(AY14=DL14,0,1)</f>
        <v>1</v>
      </c>
      <c r="FZ14" s="1">
        <f t="shared" ref="FZ14" si="929">IF(AZ14=DM14,0,1)</f>
        <v>0</v>
      </c>
      <c r="GA14" s="1">
        <f t="shared" ref="GA14" si="930">IF(BA14=DN14,0,1)</f>
        <v>1</v>
      </c>
      <c r="GB14" s="1">
        <f t="shared" ref="GB14" si="931">IF(BB14=DO14,0,1)</f>
        <v>1</v>
      </c>
      <c r="GC14" s="1">
        <f t="shared" ref="GC14" si="932">IF(BC14=DP14,0,1)</f>
        <v>0</v>
      </c>
      <c r="GD14" s="1">
        <f t="shared" ref="GD14" si="933">IF(BD14=DQ14,0,1)</f>
        <v>0</v>
      </c>
      <c r="GE14" s="1">
        <f t="shared" ref="GE14" si="934">IF(BE14=DR14,0,1)</f>
        <v>1</v>
      </c>
      <c r="GF14" s="1">
        <f t="shared" ref="GF14" si="935">IF(BF14=DS14,0,1)</f>
        <v>0</v>
      </c>
      <c r="GG14" s="1">
        <f t="shared" ref="GG14" si="936">IF(BG14=DT14,0,1)</f>
        <v>0</v>
      </c>
      <c r="GH14" s="1">
        <f t="shared" ref="GH14" si="937">IF(BH14=DU14,0,1)</f>
        <v>1</v>
      </c>
      <c r="GI14" s="1">
        <f t="shared" ref="GI14" si="938">IF(BI14=DV14,0,1)</f>
        <v>0</v>
      </c>
      <c r="GJ14" s="1">
        <f t="shared" ref="GJ14" si="939">IF(BJ14=DW14,0,1)</f>
        <v>0</v>
      </c>
      <c r="GK14" s="1">
        <f t="shared" ref="GK14" si="940">IF(BK14=DX14,0,1)</f>
        <v>0</v>
      </c>
      <c r="GL14" s="1">
        <f t="shared" ref="GL14" si="941">IF(BL14=DY14,0,1)</f>
        <v>0</v>
      </c>
      <c r="GM14" s="1">
        <f t="shared" ref="GM14" si="942">IF(BM14=DZ14,0,1)</f>
        <v>0</v>
      </c>
      <c r="GO14" s="27">
        <f>SUM(EB14:GM14)</f>
        <v>29</v>
      </c>
      <c r="GT14" s="3">
        <v>11</v>
      </c>
      <c r="GU14" s="5" t="s">
        <v>87</v>
      </c>
      <c r="GV14" s="5"/>
      <c r="GW14" s="28" t="s">
        <v>88</v>
      </c>
    </row>
    <row r="15" spans="1:205">
      <c r="A15" s="2">
        <v>6</v>
      </c>
      <c r="B15" t="str">
        <f>VLOOKUP(A15,MESSAGE,2,FALSE)</f>
        <v>0001111000111001010010010101100111000010100001010111111011111101</v>
      </c>
      <c r="BO15" t="str">
        <f>VLOOKUP(A15,MESSAGE, 4,FALSE)</f>
        <v>0000101101000000000100110101010101100010100101011100000001000110</v>
      </c>
      <c r="GT15" s="3">
        <v>12</v>
      </c>
      <c r="GU15" s="5" t="s">
        <v>89</v>
      </c>
      <c r="GV15" s="5"/>
      <c r="GW15" s="28" t="s">
        <v>90</v>
      </c>
    </row>
    <row r="16" spans="1:205">
      <c r="A16" s="2"/>
      <c r="B16" s="1" t="str">
        <f>MID($B15,B$1,1)</f>
        <v>0</v>
      </c>
      <c r="C16" s="1" t="str">
        <f t="shared" ref="C16" si="943">MID($B15,C$1,1)</f>
        <v>0</v>
      </c>
      <c r="D16" s="1" t="str">
        <f t="shared" ref="D16" si="944">MID($B15,D$1,1)</f>
        <v>0</v>
      </c>
      <c r="E16" s="1" t="str">
        <f t="shared" ref="E16" si="945">MID($B15,E$1,1)</f>
        <v>1</v>
      </c>
      <c r="F16" s="1" t="str">
        <f t="shared" ref="F16" si="946">MID($B15,F$1,1)</f>
        <v>1</v>
      </c>
      <c r="G16" s="1" t="str">
        <f t="shared" ref="G16" si="947">MID($B15,G$1,1)</f>
        <v>1</v>
      </c>
      <c r="H16" s="1" t="str">
        <f t="shared" ref="H16" si="948">MID($B15,H$1,1)</f>
        <v>1</v>
      </c>
      <c r="I16" s="1" t="str">
        <f t="shared" ref="I16" si="949">MID($B15,I$1,1)</f>
        <v>0</v>
      </c>
      <c r="J16" s="1" t="str">
        <f t="shared" ref="J16" si="950">MID($B15,J$1,1)</f>
        <v>0</v>
      </c>
      <c r="K16" s="1" t="str">
        <f t="shared" ref="K16" si="951">MID($B15,K$1,1)</f>
        <v>0</v>
      </c>
      <c r="L16" s="1" t="str">
        <f t="shared" ref="L16" si="952">MID($B15,L$1,1)</f>
        <v>1</v>
      </c>
      <c r="M16" s="1" t="str">
        <f t="shared" ref="M16" si="953">MID($B15,M$1,1)</f>
        <v>1</v>
      </c>
      <c r="N16" s="1" t="str">
        <f t="shared" ref="N16" si="954">MID($B15,N$1,1)</f>
        <v>1</v>
      </c>
      <c r="O16" s="1" t="str">
        <f t="shared" ref="O16" si="955">MID($B15,O$1,1)</f>
        <v>0</v>
      </c>
      <c r="P16" s="1" t="str">
        <f t="shared" ref="P16" si="956">MID($B15,P$1,1)</f>
        <v>0</v>
      </c>
      <c r="Q16" s="1" t="str">
        <f t="shared" ref="Q16" si="957">MID($B15,Q$1,1)</f>
        <v>1</v>
      </c>
      <c r="R16" s="1" t="str">
        <f t="shared" ref="R16" si="958">MID($B15,R$1,1)</f>
        <v>0</v>
      </c>
      <c r="S16" s="1" t="str">
        <f t="shared" ref="S16" si="959">MID($B15,S$1,1)</f>
        <v>1</v>
      </c>
      <c r="T16" s="1" t="str">
        <f t="shared" ref="T16" si="960">MID($B15,T$1,1)</f>
        <v>0</v>
      </c>
      <c r="U16" s="1" t="str">
        <f t="shared" ref="U16" si="961">MID($B15,U$1,1)</f>
        <v>0</v>
      </c>
      <c r="V16" s="1" t="str">
        <f t="shared" ref="V16" si="962">MID($B15,V$1,1)</f>
        <v>1</v>
      </c>
      <c r="W16" s="1" t="str">
        <f t="shared" ref="W16" si="963">MID($B15,W$1,1)</f>
        <v>0</v>
      </c>
      <c r="X16" s="1" t="str">
        <f t="shared" ref="X16" si="964">MID($B15,X$1,1)</f>
        <v>0</v>
      </c>
      <c r="Y16" s="1" t="str">
        <f t="shared" ref="Y16" si="965">MID($B15,Y$1,1)</f>
        <v>1</v>
      </c>
      <c r="Z16" s="1" t="str">
        <f t="shared" ref="Z16" si="966">MID($B15,Z$1,1)</f>
        <v>0</v>
      </c>
      <c r="AA16" s="1" t="str">
        <f t="shared" ref="AA16" si="967">MID($B15,AA$1,1)</f>
        <v>1</v>
      </c>
      <c r="AB16" s="1" t="str">
        <f t="shared" ref="AB16" si="968">MID($B15,AB$1,1)</f>
        <v>0</v>
      </c>
      <c r="AC16" s="1" t="str">
        <f t="shared" ref="AC16" si="969">MID($B15,AC$1,1)</f>
        <v>1</v>
      </c>
      <c r="AD16" s="1" t="str">
        <f t="shared" ref="AD16" si="970">MID($B15,AD$1,1)</f>
        <v>1</v>
      </c>
      <c r="AE16" s="1" t="str">
        <f t="shared" ref="AE16" si="971">MID($B15,AE$1,1)</f>
        <v>0</v>
      </c>
      <c r="AF16" s="1" t="str">
        <f t="shared" ref="AF16" si="972">MID($B15,AF$1,1)</f>
        <v>0</v>
      </c>
      <c r="AG16" s="1" t="str">
        <f t="shared" ref="AG16" si="973">MID($B15,AG$1,1)</f>
        <v>1</v>
      </c>
      <c r="AH16" s="1" t="str">
        <f t="shared" ref="AH16" si="974">MID($B15,AH$1,1)</f>
        <v>1</v>
      </c>
      <c r="AI16" s="1" t="str">
        <f t="shared" ref="AI16" si="975">MID($B15,AI$1,1)</f>
        <v>1</v>
      </c>
      <c r="AJ16" s="1" t="str">
        <f t="shared" ref="AJ16" si="976">MID($B15,AJ$1,1)</f>
        <v>0</v>
      </c>
      <c r="AK16" s="1" t="str">
        <f t="shared" ref="AK16" si="977">MID($B15,AK$1,1)</f>
        <v>0</v>
      </c>
      <c r="AL16" s="1" t="str">
        <f t="shared" ref="AL16" si="978">MID($B15,AL$1,1)</f>
        <v>0</v>
      </c>
      <c r="AM16" s="1" t="str">
        <f t="shared" ref="AM16" si="979">MID($B15,AM$1,1)</f>
        <v>0</v>
      </c>
      <c r="AN16" s="1" t="str">
        <f t="shared" ref="AN16" si="980">MID($B15,AN$1,1)</f>
        <v>1</v>
      </c>
      <c r="AO16" s="1" t="str">
        <f t="shared" ref="AO16" si="981">MID($B15,AO$1,1)</f>
        <v>0</v>
      </c>
      <c r="AP16" s="1" t="str">
        <f t="shared" ref="AP16" si="982">MID($B15,AP$1,1)</f>
        <v>1</v>
      </c>
      <c r="AQ16" s="1" t="str">
        <f t="shared" ref="AQ16" si="983">MID($B15,AQ$1,1)</f>
        <v>0</v>
      </c>
      <c r="AR16" s="1" t="str">
        <f t="shared" ref="AR16" si="984">MID($B15,AR$1,1)</f>
        <v>0</v>
      </c>
      <c r="AS16" s="1" t="str">
        <f t="shared" ref="AS16" si="985">MID($B15,AS$1,1)</f>
        <v>0</v>
      </c>
      <c r="AT16" s="1" t="str">
        <f t="shared" ref="AT16" si="986">MID($B15,AT$1,1)</f>
        <v>0</v>
      </c>
      <c r="AU16" s="1" t="str">
        <f t="shared" ref="AU16" si="987">MID($B15,AU$1,1)</f>
        <v>1</v>
      </c>
      <c r="AV16" s="1" t="str">
        <f t="shared" ref="AV16" si="988">MID($B15,AV$1,1)</f>
        <v>0</v>
      </c>
      <c r="AW16" s="1" t="str">
        <f t="shared" ref="AW16" si="989">MID($B15,AW$1,1)</f>
        <v>1</v>
      </c>
      <c r="AX16" s="1" t="str">
        <f t="shared" ref="AX16" si="990">MID($B15,AX$1,1)</f>
        <v>0</v>
      </c>
      <c r="AY16" s="1" t="str">
        <f t="shared" ref="AY16" si="991">MID($B15,AY$1,1)</f>
        <v>1</v>
      </c>
      <c r="AZ16" s="1" t="str">
        <f t="shared" ref="AZ16" si="992">MID($B15,AZ$1,1)</f>
        <v>1</v>
      </c>
      <c r="BA16" s="1" t="str">
        <f t="shared" ref="BA16" si="993">MID($B15,BA$1,1)</f>
        <v>1</v>
      </c>
      <c r="BB16" s="1" t="str">
        <f t="shared" ref="BB16" si="994">MID($B15,BB$1,1)</f>
        <v>1</v>
      </c>
      <c r="BC16" s="1" t="str">
        <f t="shared" ref="BC16" si="995">MID($B15,BC$1,1)</f>
        <v>1</v>
      </c>
      <c r="BD16" s="1" t="str">
        <f t="shared" ref="BD16" si="996">MID($B15,BD$1,1)</f>
        <v>1</v>
      </c>
      <c r="BE16" s="1" t="str">
        <f t="shared" ref="BE16" si="997">MID($B15,BE$1,1)</f>
        <v>0</v>
      </c>
      <c r="BF16" s="1" t="str">
        <f t="shared" ref="BF16" si="998">MID($B15,BF$1,1)</f>
        <v>1</v>
      </c>
      <c r="BG16" s="1" t="str">
        <f t="shared" ref="BG16" si="999">MID($B15,BG$1,1)</f>
        <v>1</v>
      </c>
      <c r="BH16" s="1" t="str">
        <f t="shared" ref="BH16" si="1000">MID($B15,BH$1,1)</f>
        <v>1</v>
      </c>
      <c r="BI16" s="1" t="str">
        <f t="shared" ref="BI16" si="1001">MID($B15,BI$1,1)</f>
        <v>1</v>
      </c>
      <c r="BJ16" s="1" t="str">
        <f t="shared" ref="BJ16" si="1002">MID($B15,BJ$1,1)</f>
        <v>1</v>
      </c>
      <c r="BK16" s="1" t="str">
        <f t="shared" ref="BK16" si="1003">MID($B15,BK$1,1)</f>
        <v>1</v>
      </c>
      <c r="BL16" s="1" t="str">
        <f t="shared" ref="BL16" si="1004">MID($B15,BL$1,1)</f>
        <v>0</v>
      </c>
      <c r="BM16" s="1" t="str">
        <f t="shared" ref="BM16" si="1005">MID($B15,BM$1,1)</f>
        <v>1</v>
      </c>
      <c r="BN16" s="1"/>
      <c r="BO16" s="1" t="str">
        <f>MID($BO15,BO$1,1)</f>
        <v>0</v>
      </c>
      <c r="BP16" s="1" t="str">
        <f t="shared" ref="BP16" si="1006">MID($BO15,BP$1,1)</f>
        <v>0</v>
      </c>
      <c r="BQ16" s="1" t="str">
        <f t="shared" ref="BQ16" si="1007">MID($BO15,BQ$1,1)</f>
        <v>0</v>
      </c>
      <c r="BR16" s="1" t="str">
        <f t="shared" ref="BR16" si="1008">MID($BO15,BR$1,1)</f>
        <v>0</v>
      </c>
      <c r="BS16" s="1" t="str">
        <f t="shared" ref="BS16" si="1009">MID($BO15,BS$1,1)</f>
        <v>1</v>
      </c>
      <c r="BT16" s="1" t="str">
        <f t="shared" ref="BT16" si="1010">MID($BO15,BT$1,1)</f>
        <v>0</v>
      </c>
      <c r="BU16" s="1" t="str">
        <f t="shared" ref="BU16" si="1011">MID($BO15,BU$1,1)</f>
        <v>1</v>
      </c>
      <c r="BV16" s="1" t="str">
        <f t="shared" ref="BV16" si="1012">MID($BO15,BV$1,1)</f>
        <v>1</v>
      </c>
      <c r="BW16" s="1" t="str">
        <f t="shared" ref="BW16" si="1013">MID($BO15,BW$1,1)</f>
        <v>0</v>
      </c>
      <c r="BX16" s="1" t="str">
        <f t="shared" ref="BX16" si="1014">MID($BO15,BX$1,1)</f>
        <v>1</v>
      </c>
      <c r="BY16" s="1" t="str">
        <f t="shared" ref="BY16" si="1015">MID($BO15,BY$1,1)</f>
        <v>0</v>
      </c>
      <c r="BZ16" s="1" t="str">
        <f t="shared" ref="BZ16" si="1016">MID($BO15,BZ$1,1)</f>
        <v>0</v>
      </c>
      <c r="CA16" s="1" t="str">
        <f t="shared" ref="CA16" si="1017">MID($BO15,CA$1,1)</f>
        <v>0</v>
      </c>
      <c r="CB16" s="1" t="str">
        <f t="shared" ref="CB16" si="1018">MID($BO15,CB$1,1)</f>
        <v>0</v>
      </c>
      <c r="CC16" s="1" t="str">
        <f t="shared" ref="CC16" si="1019">MID($BO15,CC$1,1)</f>
        <v>0</v>
      </c>
      <c r="CD16" s="1" t="str">
        <f t="shared" ref="CD16" si="1020">MID($BO15,CD$1,1)</f>
        <v>0</v>
      </c>
      <c r="CE16" s="1" t="str">
        <f t="shared" ref="CE16" si="1021">MID($BO15,CE$1,1)</f>
        <v>0</v>
      </c>
      <c r="CF16" s="1" t="str">
        <f t="shared" ref="CF16" si="1022">MID($BO15,CF$1,1)</f>
        <v>0</v>
      </c>
      <c r="CG16" s="1" t="str">
        <f t="shared" ref="CG16" si="1023">MID($BO15,CG$1,1)</f>
        <v>0</v>
      </c>
      <c r="CH16" s="1" t="str">
        <f t="shared" ref="CH16" si="1024">MID($BO15,CH$1,1)</f>
        <v>1</v>
      </c>
      <c r="CI16" s="1" t="str">
        <f t="shared" ref="CI16" si="1025">MID($BO15,CI$1,1)</f>
        <v>0</v>
      </c>
      <c r="CJ16" s="1" t="str">
        <f t="shared" ref="CJ16" si="1026">MID($BO15,CJ$1,1)</f>
        <v>0</v>
      </c>
      <c r="CK16" s="1" t="str">
        <f t="shared" ref="CK16" si="1027">MID($BO15,CK$1,1)</f>
        <v>1</v>
      </c>
      <c r="CL16" s="1" t="str">
        <f t="shared" ref="CL16" si="1028">MID($BO15,CL$1,1)</f>
        <v>1</v>
      </c>
      <c r="CM16" s="1" t="str">
        <f t="shared" ref="CM16" si="1029">MID($BO15,CM$1,1)</f>
        <v>0</v>
      </c>
      <c r="CN16" s="1" t="str">
        <f t="shared" ref="CN16" si="1030">MID($BO15,CN$1,1)</f>
        <v>1</v>
      </c>
      <c r="CO16" s="1" t="str">
        <f t="shared" ref="CO16" si="1031">MID($BO15,CO$1,1)</f>
        <v>0</v>
      </c>
      <c r="CP16" s="1" t="str">
        <f t="shared" ref="CP16" si="1032">MID($BO15,CP$1,1)</f>
        <v>1</v>
      </c>
      <c r="CQ16" s="1" t="str">
        <f t="shared" ref="CQ16" si="1033">MID($BO15,CQ$1,1)</f>
        <v>0</v>
      </c>
      <c r="CR16" s="1" t="str">
        <f t="shared" ref="CR16" si="1034">MID($BO15,CR$1,1)</f>
        <v>1</v>
      </c>
      <c r="CS16" s="1" t="str">
        <f t="shared" ref="CS16" si="1035">MID($BO15,CS$1,1)</f>
        <v>0</v>
      </c>
      <c r="CT16" s="1" t="str">
        <f t="shared" ref="CT16" si="1036">MID($BO15,CT$1,1)</f>
        <v>1</v>
      </c>
      <c r="CU16" s="1" t="str">
        <f t="shared" ref="CU16" si="1037">MID($BO15,CU$1,1)</f>
        <v>0</v>
      </c>
      <c r="CV16" s="1" t="str">
        <f t="shared" ref="CV16" si="1038">MID($BO15,CV$1,1)</f>
        <v>1</v>
      </c>
      <c r="CW16" s="1" t="str">
        <f t="shared" ref="CW16" si="1039">MID($BO15,CW$1,1)</f>
        <v>1</v>
      </c>
      <c r="CX16" s="1" t="str">
        <f t="shared" ref="CX16" si="1040">MID($BO15,CX$1,1)</f>
        <v>0</v>
      </c>
      <c r="CY16" s="1" t="str">
        <f t="shared" ref="CY16" si="1041">MID($BO15,CY$1,1)</f>
        <v>0</v>
      </c>
      <c r="CZ16" s="1" t="str">
        <f t="shared" ref="CZ16" si="1042">MID($BO15,CZ$1,1)</f>
        <v>0</v>
      </c>
      <c r="DA16" s="1" t="str">
        <f t="shared" ref="DA16" si="1043">MID($BO15,DA$1,1)</f>
        <v>1</v>
      </c>
      <c r="DB16" s="1" t="str">
        <f t="shared" ref="DB16" si="1044">MID($BO15,DB$1,1)</f>
        <v>0</v>
      </c>
      <c r="DC16" s="1" t="str">
        <f t="shared" ref="DC16" si="1045">MID($BO15,DC$1,1)</f>
        <v>1</v>
      </c>
      <c r="DD16" s="1" t="str">
        <f t="shared" ref="DD16" si="1046">MID($BO15,DD$1,1)</f>
        <v>0</v>
      </c>
      <c r="DE16" s="1" t="str">
        <f t="shared" ref="DE16" si="1047">MID($BO15,DE$1,1)</f>
        <v>0</v>
      </c>
      <c r="DF16" s="1" t="str">
        <f t="shared" ref="DF16" si="1048">MID($BO15,DF$1,1)</f>
        <v>1</v>
      </c>
      <c r="DG16" s="1" t="str">
        <f t="shared" ref="DG16" si="1049">MID($BO15,DG$1,1)</f>
        <v>0</v>
      </c>
      <c r="DH16" s="1" t="str">
        <f t="shared" ref="DH16" si="1050">MID($BO15,DH$1,1)</f>
        <v>1</v>
      </c>
      <c r="DI16" s="1" t="str">
        <f t="shared" ref="DI16" si="1051">MID($BO15,DI$1,1)</f>
        <v>0</v>
      </c>
      <c r="DJ16" s="1" t="str">
        <f t="shared" ref="DJ16" si="1052">MID($BO15,DJ$1,1)</f>
        <v>1</v>
      </c>
      <c r="DK16" s="1" t="str">
        <f t="shared" ref="DK16" si="1053">MID($BO15,DK$1,1)</f>
        <v>1</v>
      </c>
      <c r="DL16" s="1" t="str">
        <f t="shared" ref="DL16" si="1054">MID($BO15,DL$1,1)</f>
        <v>1</v>
      </c>
      <c r="DM16" s="1" t="str">
        <f t="shared" ref="DM16" si="1055">MID($BO15,DM$1,1)</f>
        <v>0</v>
      </c>
      <c r="DN16" s="1" t="str">
        <f t="shared" ref="DN16" si="1056">MID($BO15,DN$1,1)</f>
        <v>0</v>
      </c>
      <c r="DO16" s="1" t="str">
        <f t="shared" ref="DO16" si="1057">MID($BO15,DO$1,1)</f>
        <v>0</v>
      </c>
      <c r="DP16" s="1" t="str">
        <f t="shared" ref="DP16" si="1058">MID($BO15,DP$1,1)</f>
        <v>0</v>
      </c>
      <c r="DQ16" s="1" t="str">
        <f t="shared" ref="DQ16" si="1059">MID($BO15,DQ$1,1)</f>
        <v>0</v>
      </c>
      <c r="DR16" s="1" t="str">
        <f t="shared" ref="DR16" si="1060">MID($BO15,DR$1,1)</f>
        <v>0</v>
      </c>
      <c r="DS16" s="1" t="str">
        <f t="shared" ref="DS16" si="1061">MID($BO15,DS$1,1)</f>
        <v>0</v>
      </c>
      <c r="DT16" s="1" t="str">
        <f t="shared" ref="DT16" si="1062">MID($BO15,DT$1,1)</f>
        <v>1</v>
      </c>
      <c r="DU16" s="1" t="str">
        <f t="shared" ref="DU16" si="1063">MID($BO15,DU$1,1)</f>
        <v>0</v>
      </c>
      <c r="DV16" s="1" t="str">
        <f t="shared" ref="DV16" si="1064">MID($BO15,DV$1,1)</f>
        <v>0</v>
      </c>
      <c r="DW16" s="1" t="str">
        <f t="shared" ref="DW16" si="1065">MID($BO15,DW$1,1)</f>
        <v>0</v>
      </c>
      <c r="DX16" s="1" t="str">
        <f t="shared" ref="DX16" si="1066">MID($BO15,DX$1,1)</f>
        <v>1</v>
      </c>
      <c r="DY16" s="1" t="str">
        <f t="shared" ref="DY16" si="1067">MID($BO15,DY$1,1)</f>
        <v>1</v>
      </c>
      <c r="DZ16" s="1" t="str">
        <f t="shared" ref="DZ16" si="1068">MID($BO15,DZ$1,1)</f>
        <v>0</v>
      </c>
      <c r="EB16" s="1">
        <f>IF(B16=BO16,0,1)</f>
        <v>0</v>
      </c>
      <c r="EC16" s="1">
        <f>IF(C16=BP16,0,1)</f>
        <v>0</v>
      </c>
      <c r="ED16" s="1">
        <f t="shared" ref="ED16" si="1069">IF(D16=BQ16,0,1)</f>
        <v>0</v>
      </c>
      <c r="EE16" s="1">
        <f t="shared" ref="EE16" si="1070">IF(E16=BR16,0,1)</f>
        <v>1</v>
      </c>
      <c r="EF16" s="1">
        <f t="shared" ref="EF16" si="1071">IF(F16=BS16,0,1)</f>
        <v>0</v>
      </c>
      <c r="EG16" s="1">
        <f t="shared" ref="EG16" si="1072">IF(G16=BT16,0,1)</f>
        <v>1</v>
      </c>
      <c r="EH16" s="1">
        <f t="shared" ref="EH16" si="1073">IF(H16=BU16,0,1)</f>
        <v>0</v>
      </c>
      <c r="EI16" s="1">
        <f t="shared" ref="EI16" si="1074">IF(I16=BV16,0,1)</f>
        <v>1</v>
      </c>
      <c r="EJ16" s="1">
        <f t="shared" ref="EJ16" si="1075">IF(J16=BW16,0,1)</f>
        <v>0</v>
      </c>
      <c r="EK16" s="1">
        <f t="shared" ref="EK16" si="1076">IF(K16=BX16,0,1)</f>
        <v>1</v>
      </c>
      <c r="EL16" s="1">
        <f t="shared" ref="EL16" si="1077">IF(L16=BY16,0,1)</f>
        <v>1</v>
      </c>
      <c r="EM16" s="1">
        <f t="shared" ref="EM16" si="1078">IF(M16=BZ16,0,1)</f>
        <v>1</v>
      </c>
      <c r="EN16" s="1">
        <f t="shared" ref="EN16" si="1079">IF(N16=CA16,0,1)</f>
        <v>1</v>
      </c>
      <c r="EO16" s="1">
        <f t="shared" ref="EO16" si="1080">IF(O16=CB16,0,1)</f>
        <v>0</v>
      </c>
      <c r="EP16" s="1">
        <f t="shared" ref="EP16" si="1081">IF(P16=CC16,0,1)</f>
        <v>0</v>
      </c>
      <c r="EQ16" s="1">
        <f t="shared" ref="EQ16" si="1082">IF(Q16=CD16,0,1)</f>
        <v>1</v>
      </c>
      <c r="ER16" s="1">
        <f t="shared" ref="ER16" si="1083">IF(R16=CE16,0,1)</f>
        <v>0</v>
      </c>
      <c r="ES16" s="1">
        <f t="shared" ref="ES16" si="1084">IF(S16=CF16,0,1)</f>
        <v>1</v>
      </c>
      <c r="ET16" s="1">
        <f t="shared" ref="ET16" si="1085">IF(T16=CG16,0,1)</f>
        <v>0</v>
      </c>
      <c r="EU16" s="1">
        <f t="shared" ref="EU16" si="1086">IF(U16=CH16,0,1)</f>
        <v>1</v>
      </c>
      <c r="EV16" s="1">
        <f t="shared" ref="EV16" si="1087">IF(V16=CI16,0,1)</f>
        <v>1</v>
      </c>
      <c r="EW16" s="1">
        <f t="shared" ref="EW16" si="1088">IF(W16=CJ16,0,1)</f>
        <v>0</v>
      </c>
      <c r="EX16" s="1">
        <f t="shared" ref="EX16" si="1089">IF(X16=CK16,0,1)</f>
        <v>1</v>
      </c>
      <c r="EY16" s="1">
        <f t="shared" ref="EY16" si="1090">IF(Y16=CL16,0,1)</f>
        <v>0</v>
      </c>
      <c r="EZ16" s="1">
        <f t="shared" ref="EZ16" si="1091">IF(Z16=CM16,0,1)</f>
        <v>0</v>
      </c>
      <c r="FA16" s="1">
        <f t="shared" ref="FA16" si="1092">IF(AA16=CN16,0,1)</f>
        <v>0</v>
      </c>
      <c r="FB16" s="1">
        <f t="shared" ref="FB16" si="1093">IF(AB16=CO16,0,1)</f>
        <v>0</v>
      </c>
      <c r="FC16" s="1">
        <f t="shared" ref="FC16" si="1094">IF(AC16=CP16,0,1)</f>
        <v>0</v>
      </c>
      <c r="FD16" s="1">
        <f t="shared" ref="FD16" si="1095">IF(AD16=CQ16,0,1)</f>
        <v>1</v>
      </c>
      <c r="FE16" s="1">
        <f t="shared" ref="FE16" si="1096">IF(AE16=CR16,0,1)</f>
        <v>1</v>
      </c>
      <c r="FF16" s="1">
        <f t="shared" ref="FF16" si="1097">IF(AF16=CS16,0,1)</f>
        <v>0</v>
      </c>
      <c r="FG16" s="1">
        <f t="shared" ref="FG16" si="1098">IF(AG16=CT16,0,1)</f>
        <v>0</v>
      </c>
      <c r="FH16" s="1">
        <f t="shared" ref="FH16" si="1099">IF(AH16=CU16,0,1)</f>
        <v>1</v>
      </c>
      <c r="FI16" s="1">
        <f t="shared" ref="FI16" si="1100">IF(AI16=CV16,0,1)</f>
        <v>0</v>
      </c>
      <c r="FJ16" s="1">
        <f t="shared" ref="FJ16" si="1101">IF(AJ16=CW16,0,1)</f>
        <v>1</v>
      </c>
      <c r="FK16" s="1">
        <f t="shared" ref="FK16" si="1102">IF(AK16=CX16,0,1)</f>
        <v>0</v>
      </c>
      <c r="FL16" s="1">
        <f t="shared" ref="FL16" si="1103">IF(AL16=CY16,0,1)</f>
        <v>0</v>
      </c>
      <c r="FM16" s="1">
        <f t="shared" ref="FM16" si="1104">IF(AM16=CZ16,0,1)</f>
        <v>0</v>
      </c>
      <c r="FN16" s="1">
        <f t="shared" ref="FN16" si="1105">IF(AN16=DA16,0,1)</f>
        <v>0</v>
      </c>
      <c r="FO16" s="1">
        <f t="shared" ref="FO16" si="1106">IF(AO16=DB16,0,1)</f>
        <v>0</v>
      </c>
      <c r="FP16" s="1">
        <f t="shared" ref="FP16" si="1107">IF(AP16=DC16,0,1)</f>
        <v>0</v>
      </c>
      <c r="FQ16" s="1">
        <f t="shared" ref="FQ16" si="1108">IF(AQ16=DD16,0,1)</f>
        <v>0</v>
      </c>
      <c r="FR16" s="1">
        <f t="shared" ref="FR16" si="1109">IF(AR16=DE16,0,1)</f>
        <v>0</v>
      </c>
      <c r="FS16" s="1">
        <f t="shared" ref="FS16" si="1110">IF(AS16=DF16,0,1)</f>
        <v>1</v>
      </c>
      <c r="FT16" s="1">
        <f t="shared" ref="FT16" si="1111">IF(AT16=DG16,0,1)</f>
        <v>0</v>
      </c>
      <c r="FU16" s="1">
        <f t="shared" ref="FU16" si="1112">IF(AU16=DH16,0,1)</f>
        <v>0</v>
      </c>
      <c r="FV16" s="1">
        <f t="shared" ref="FV16" si="1113">IF(AV16=DI16,0,1)</f>
        <v>0</v>
      </c>
      <c r="FW16" s="1">
        <f t="shared" ref="FW16" si="1114">IF(AW16=DJ16,0,1)</f>
        <v>0</v>
      </c>
      <c r="FX16" s="1">
        <f t="shared" ref="FX16" si="1115">IF(AX16=DK16,0,1)</f>
        <v>1</v>
      </c>
      <c r="FY16" s="1">
        <f t="shared" ref="FY16" si="1116">IF(AY16=DL16,0,1)</f>
        <v>0</v>
      </c>
      <c r="FZ16" s="1">
        <f t="shared" ref="FZ16" si="1117">IF(AZ16=DM16,0,1)</f>
        <v>1</v>
      </c>
      <c r="GA16" s="1">
        <f t="shared" ref="GA16" si="1118">IF(BA16=DN16,0,1)</f>
        <v>1</v>
      </c>
      <c r="GB16" s="1">
        <f t="shared" ref="GB16" si="1119">IF(BB16=DO16,0,1)</f>
        <v>1</v>
      </c>
      <c r="GC16" s="1">
        <f t="shared" ref="GC16" si="1120">IF(BC16=DP16,0,1)</f>
        <v>1</v>
      </c>
      <c r="GD16" s="1">
        <f t="shared" ref="GD16" si="1121">IF(BD16=DQ16,0,1)</f>
        <v>1</v>
      </c>
      <c r="GE16" s="1">
        <f t="shared" ref="GE16" si="1122">IF(BE16=DR16,0,1)</f>
        <v>0</v>
      </c>
      <c r="GF16" s="1">
        <f t="shared" ref="GF16" si="1123">IF(BF16=DS16,0,1)</f>
        <v>1</v>
      </c>
      <c r="GG16" s="1">
        <f t="shared" ref="GG16" si="1124">IF(BG16=DT16,0,1)</f>
        <v>0</v>
      </c>
      <c r="GH16" s="1">
        <f t="shared" ref="GH16" si="1125">IF(BH16=DU16,0,1)</f>
        <v>1</v>
      </c>
      <c r="GI16" s="1">
        <f t="shared" ref="GI16" si="1126">IF(BI16=DV16,0,1)</f>
        <v>1</v>
      </c>
      <c r="GJ16" s="1">
        <f t="shared" ref="GJ16" si="1127">IF(BJ16=DW16,0,1)</f>
        <v>1</v>
      </c>
      <c r="GK16" s="1">
        <f t="shared" ref="GK16" si="1128">IF(BK16=DX16,0,1)</f>
        <v>0</v>
      </c>
      <c r="GL16" s="1">
        <f t="shared" ref="GL16" si="1129">IF(BL16=DY16,0,1)</f>
        <v>1</v>
      </c>
      <c r="GM16" s="1">
        <f t="shared" ref="GM16" si="1130">IF(BM16=DZ16,0,1)</f>
        <v>1</v>
      </c>
      <c r="GO16" s="27">
        <f>SUM(EB16:GM16)</f>
        <v>29</v>
      </c>
      <c r="GT16" s="3">
        <v>13</v>
      </c>
      <c r="GU16" s="5" t="s">
        <v>91</v>
      </c>
      <c r="GV16" s="5"/>
      <c r="GW16" s="28" t="s">
        <v>92</v>
      </c>
    </row>
    <row r="17" spans="1:205">
      <c r="A17" s="2">
        <v>7</v>
      </c>
      <c r="B17" t="str">
        <f>VLOOKUP(A17,MESSAGE,2,FALSE)</f>
        <v>0111100011111100001000000101100100011110001110010100100101011001</v>
      </c>
      <c r="BO17" t="str">
        <f>VLOOKUP(A17,MESSAGE, 4,FALSE)</f>
        <v>1000001100100100001010100111101100001011010000000001001101010101</v>
      </c>
      <c r="GT17" s="3">
        <v>14</v>
      </c>
      <c r="GU17" s="5" t="s">
        <v>93</v>
      </c>
      <c r="GV17" s="5"/>
      <c r="GW17" s="28" t="s">
        <v>94</v>
      </c>
    </row>
    <row r="18" spans="1:205">
      <c r="A18" s="2"/>
      <c r="B18" s="1" t="str">
        <f>MID($B17,B$1,1)</f>
        <v>0</v>
      </c>
      <c r="C18" s="1" t="str">
        <f t="shared" ref="C18" si="1131">MID($B17,C$1,1)</f>
        <v>1</v>
      </c>
      <c r="D18" s="1" t="str">
        <f t="shared" ref="D18" si="1132">MID($B17,D$1,1)</f>
        <v>1</v>
      </c>
      <c r="E18" s="1" t="str">
        <f t="shared" ref="E18" si="1133">MID($B17,E$1,1)</f>
        <v>1</v>
      </c>
      <c r="F18" s="1" t="str">
        <f t="shared" ref="F18" si="1134">MID($B17,F$1,1)</f>
        <v>1</v>
      </c>
      <c r="G18" s="1" t="str">
        <f t="shared" ref="G18" si="1135">MID($B17,G$1,1)</f>
        <v>0</v>
      </c>
      <c r="H18" s="1" t="str">
        <f t="shared" ref="H18" si="1136">MID($B17,H$1,1)</f>
        <v>0</v>
      </c>
      <c r="I18" s="1" t="str">
        <f t="shared" ref="I18" si="1137">MID($B17,I$1,1)</f>
        <v>0</v>
      </c>
      <c r="J18" s="1" t="str">
        <f t="shared" ref="J18" si="1138">MID($B17,J$1,1)</f>
        <v>1</v>
      </c>
      <c r="K18" s="1" t="str">
        <f t="shared" ref="K18" si="1139">MID($B17,K$1,1)</f>
        <v>1</v>
      </c>
      <c r="L18" s="1" t="str">
        <f t="shared" ref="L18" si="1140">MID($B17,L$1,1)</f>
        <v>1</v>
      </c>
      <c r="M18" s="1" t="str">
        <f t="shared" ref="M18" si="1141">MID($B17,M$1,1)</f>
        <v>1</v>
      </c>
      <c r="N18" s="1" t="str">
        <f t="shared" ref="N18" si="1142">MID($B17,N$1,1)</f>
        <v>1</v>
      </c>
      <c r="O18" s="1" t="str">
        <f t="shared" ref="O18" si="1143">MID($B17,O$1,1)</f>
        <v>1</v>
      </c>
      <c r="P18" s="1" t="str">
        <f t="shared" ref="P18" si="1144">MID($B17,P$1,1)</f>
        <v>0</v>
      </c>
      <c r="Q18" s="1" t="str">
        <f t="shared" ref="Q18" si="1145">MID($B17,Q$1,1)</f>
        <v>0</v>
      </c>
      <c r="R18" s="1" t="str">
        <f t="shared" ref="R18" si="1146">MID($B17,R$1,1)</f>
        <v>0</v>
      </c>
      <c r="S18" s="1" t="str">
        <f t="shared" ref="S18" si="1147">MID($B17,S$1,1)</f>
        <v>0</v>
      </c>
      <c r="T18" s="1" t="str">
        <f t="shared" ref="T18" si="1148">MID($B17,T$1,1)</f>
        <v>1</v>
      </c>
      <c r="U18" s="1" t="str">
        <f t="shared" ref="U18" si="1149">MID($B17,U$1,1)</f>
        <v>0</v>
      </c>
      <c r="V18" s="1" t="str">
        <f t="shared" ref="V18" si="1150">MID($B17,V$1,1)</f>
        <v>0</v>
      </c>
      <c r="W18" s="1" t="str">
        <f t="shared" ref="W18" si="1151">MID($B17,W$1,1)</f>
        <v>0</v>
      </c>
      <c r="X18" s="1" t="str">
        <f t="shared" ref="X18" si="1152">MID($B17,X$1,1)</f>
        <v>0</v>
      </c>
      <c r="Y18" s="1" t="str">
        <f t="shared" ref="Y18" si="1153">MID($B17,Y$1,1)</f>
        <v>0</v>
      </c>
      <c r="Z18" s="1" t="str">
        <f t="shared" ref="Z18" si="1154">MID($B17,Z$1,1)</f>
        <v>0</v>
      </c>
      <c r="AA18" s="1" t="str">
        <f t="shared" ref="AA18" si="1155">MID($B17,AA$1,1)</f>
        <v>1</v>
      </c>
      <c r="AB18" s="1" t="str">
        <f t="shared" ref="AB18" si="1156">MID($B17,AB$1,1)</f>
        <v>0</v>
      </c>
      <c r="AC18" s="1" t="str">
        <f t="shared" ref="AC18" si="1157">MID($B17,AC$1,1)</f>
        <v>1</v>
      </c>
      <c r="AD18" s="1" t="str">
        <f t="shared" ref="AD18" si="1158">MID($B17,AD$1,1)</f>
        <v>1</v>
      </c>
      <c r="AE18" s="1" t="str">
        <f t="shared" ref="AE18" si="1159">MID($B17,AE$1,1)</f>
        <v>0</v>
      </c>
      <c r="AF18" s="1" t="str">
        <f t="shared" ref="AF18" si="1160">MID($B17,AF$1,1)</f>
        <v>0</v>
      </c>
      <c r="AG18" s="1" t="str">
        <f t="shared" ref="AG18" si="1161">MID($B17,AG$1,1)</f>
        <v>1</v>
      </c>
      <c r="AH18" s="1" t="str">
        <f t="shared" ref="AH18" si="1162">MID($B17,AH$1,1)</f>
        <v>0</v>
      </c>
      <c r="AI18" s="1" t="str">
        <f t="shared" ref="AI18" si="1163">MID($B17,AI$1,1)</f>
        <v>0</v>
      </c>
      <c r="AJ18" s="1" t="str">
        <f t="shared" ref="AJ18" si="1164">MID($B17,AJ$1,1)</f>
        <v>0</v>
      </c>
      <c r="AK18" s="1" t="str">
        <f t="shared" ref="AK18" si="1165">MID($B17,AK$1,1)</f>
        <v>1</v>
      </c>
      <c r="AL18" s="1" t="str">
        <f t="shared" ref="AL18" si="1166">MID($B17,AL$1,1)</f>
        <v>1</v>
      </c>
      <c r="AM18" s="1" t="str">
        <f t="shared" ref="AM18" si="1167">MID($B17,AM$1,1)</f>
        <v>1</v>
      </c>
      <c r="AN18" s="1" t="str">
        <f t="shared" ref="AN18" si="1168">MID($B17,AN$1,1)</f>
        <v>1</v>
      </c>
      <c r="AO18" s="1" t="str">
        <f t="shared" ref="AO18" si="1169">MID($B17,AO$1,1)</f>
        <v>0</v>
      </c>
      <c r="AP18" s="1" t="str">
        <f t="shared" ref="AP18" si="1170">MID($B17,AP$1,1)</f>
        <v>0</v>
      </c>
      <c r="AQ18" s="1" t="str">
        <f t="shared" ref="AQ18" si="1171">MID($B17,AQ$1,1)</f>
        <v>0</v>
      </c>
      <c r="AR18" s="1" t="str">
        <f t="shared" ref="AR18" si="1172">MID($B17,AR$1,1)</f>
        <v>1</v>
      </c>
      <c r="AS18" s="1" t="str">
        <f t="shared" ref="AS18" si="1173">MID($B17,AS$1,1)</f>
        <v>1</v>
      </c>
      <c r="AT18" s="1" t="str">
        <f t="shared" ref="AT18" si="1174">MID($B17,AT$1,1)</f>
        <v>1</v>
      </c>
      <c r="AU18" s="1" t="str">
        <f t="shared" ref="AU18" si="1175">MID($B17,AU$1,1)</f>
        <v>0</v>
      </c>
      <c r="AV18" s="1" t="str">
        <f t="shared" ref="AV18" si="1176">MID($B17,AV$1,1)</f>
        <v>0</v>
      </c>
      <c r="AW18" s="1" t="str">
        <f t="shared" ref="AW18" si="1177">MID($B17,AW$1,1)</f>
        <v>1</v>
      </c>
      <c r="AX18" s="1" t="str">
        <f t="shared" ref="AX18" si="1178">MID($B17,AX$1,1)</f>
        <v>0</v>
      </c>
      <c r="AY18" s="1" t="str">
        <f t="shared" ref="AY18" si="1179">MID($B17,AY$1,1)</f>
        <v>1</v>
      </c>
      <c r="AZ18" s="1" t="str">
        <f t="shared" ref="AZ18" si="1180">MID($B17,AZ$1,1)</f>
        <v>0</v>
      </c>
      <c r="BA18" s="1" t="str">
        <f t="shared" ref="BA18" si="1181">MID($B17,BA$1,1)</f>
        <v>0</v>
      </c>
      <c r="BB18" s="1" t="str">
        <f t="shared" ref="BB18" si="1182">MID($B17,BB$1,1)</f>
        <v>1</v>
      </c>
      <c r="BC18" s="1" t="str">
        <f t="shared" ref="BC18" si="1183">MID($B17,BC$1,1)</f>
        <v>0</v>
      </c>
      <c r="BD18" s="1" t="str">
        <f t="shared" ref="BD18" si="1184">MID($B17,BD$1,1)</f>
        <v>0</v>
      </c>
      <c r="BE18" s="1" t="str">
        <f t="shared" ref="BE18" si="1185">MID($B17,BE$1,1)</f>
        <v>1</v>
      </c>
      <c r="BF18" s="1" t="str">
        <f t="shared" ref="BF18" si="1186">MID($B17,BF$1,1)</f>
        <v>0</v>
      </c>
      <c r="BG18" s="1" t="str">
        <f t="shared" ref="BG18" si="1187">MID($B17,BG$1,1)</f>
        <v>1</v>
      </c>
      <c r="BH18" s="1" t="str">
        <f t="shared" ref="BH18" si="1188">MID($B17,BH$1,1)</f>
        <v>0</v>
      </c>
      <c r="BI18" s="1" t="str">
        <f t="shared" ref="BI18" si="1189">MID($B17,BI$1,1)</f>
        <v>1</v>
      </c>
      <c r="BJ18" s="1" t="str">
        <f t="shared" ref="BJ18" si="1190">MID($B17,BJ$1,1)</f>
        <v>1</v>
      </c>
      <c r="BK18" s="1" t="str">
        <f t="shared" ref="BK18" si="1191">MID($B17,BK$1,1)</f>
        <v>0</v>
      </c>
      <c r="BL18" s="1" t="str">
        <f t="shared" ref="BL18" si="1192">MID($B17,BL$1,1)</f>
        <v>0</v>
      </c>
      <c r="BM18" s="1" t="str">
        <f t="shared" ref="BM18" si="1193">MID($B17,BM$1,1)</f>
        <v>1</v>
      </c>
      <c r="BN18" s="1"/>
      <c r="BO18" s="1" t="str">
        <f>MID($BO17,BO$1,1)</f>
        <v>1</v>
      </c>
      <c r="BP18" s="1" t="str">
        <f t="shared" ref="BP18" si="1194">MID($BO17,BP$1,1)</f>
        <v>0</v>
      </c>
      <c r="BQ18" s="1" t="str">
        <f t="shared" ref="BQ18" si="1195">MID($BO17,BQ$1,1)</f>
        <v>0</v>
      </c>
      <c r="BR18" s="1" t="str">
        <f t="shared" ref="BR18" si="1196">MID($BO17,BR$1,1)</f>
        <v>0</v>
      </c>
      <c r="BS18" s="1" t="str">
        <f t="shared" ref="BS18" si="1197">MID($BO17,BS$1,1)</f>
        <v>0</v>
      </c>
      <c r="BT18" s="1" t="str">
        <f t="shared" ref="BT18" si="1198">MID($BO17,BT$1,1)</f>
        <v>0</v>
      </c>
      <c r="BU18" s="1" t="str">
        <f t="shared" ref="BU18" si="1199">MID($BO17,BU$1,1)</f>
        <v>1</v>
      </c>
      <c r="BV18" s="1" t="str">
        <f t="shared" ref="BV18" si="1200">MID($BO17,BV$1,1)</f>
        <v>1</v>
      </c>
      <c r="BW18" s="1" t="str">
        <f t="shared" ref="BW18" si="1201">MID($BO17,BW$1,1)</f>
        <v>0</v>
      </c>
      <c r="BX18" s="1" t="str">
        <f t="shared" ref="BX18" si="1202">MID($BO17,BX$1,1)</f>
        <v>0</v>
      </c>
      <c r="BY18" s="1" t="str">
        <f t="shared" ref="BY18" si="1203">MID($BO17,BY$1,1)</f>
        <v>1</v>
      </c>
      <c r="BZ18" s="1" t="str">
        <f t="shared" ref="BZ18" si="1204">MID($BO17,BZ$1,1)</f>
        <v>0</v>
      </c>
      <c r="CA18" s="1" t="str">
        <f t="shared" ref="CA18" si="1205">MID($BO17,CA$1,1)</f>
        <v>0</v>
      </c>
      <c r="CB18" s="1" t="str">
        <f t="shared" ref="CB18" si="1206">MID($BO17,CB$1,1)</f>
        <v>1</v>
      </c>
      <c r="CC18" s="1" t="str">
        <f t="shared" ref="CC18" si="1207">MID($BO17,CC$1,1)</f>
        <v>0</v>
      </c>
      <c r="CD18" s="1" t="str">
        <f t="shared" ref="CD18" si="1208">MID($BO17,CD$1,1)</f>
        <v>0</v>
      </c>
      <c r="CE18" s="1" t="str">
        <f t="shared" ref="CE18" si="1209">MID($BO17,CE$1,1)</f>
        <v>0</v>
      </c>
      <c r="CF18" s="1" t="str">
        <f t="shared" ref="CF18" si="1210">MID($BO17,CF$1,1)</f>
        <v>0</v>
      </c>
      <c r="CG18" s="1" t="str">
        <f t="shared" ref="CG18" si="1211">MID($BO17,CG$1,1)</f>
        <v>1</v>
      </c>
      <c r="CH18" s="1" t="str">
        <f t="shared" ref="CH18" si="1212">MID($BO17,CH$1,1)</f>
        <v>0</v>
      </c>
      <c r="CI18" s="1" t="str">
        <f t="shared" ref="CI18" si="1213">MID($BO17,CI$1,1)</f>
        <v>1</v>
      </c>
      <c r="CJ18" s="1" t="str">
        <f t="shared" ref="CJ18" si="1214">MID($BO17,CJ$1,1)</f>
        <v>0</v>
      </c>
      <c r="CK18" s="1" t="str">
        <f t="shared" ref="CK18" si="1215">MID($BO17,CK$1,1)</f>
        <v>1</v>
      </c>
      <c r="CL18" s="1" t="str">
        <f t="shared" ref="CL18" si="1216">MID($BO17,CL$1,1)</f>
        <v>0</v>
      </c>
      <c r="CM18" s="1" t="str">
        <f t="shared" ref="CM18" si="1217">MID($BO17,CM$1,1)</f>
        <v>0</v>
      </c>
      <c r="CN18" s="1" t="str">
        <f t="shared" ref="CN18" si="1218">MID($BO17,CN$1,1)</f>
        <v>1</v>
      </c>
      <c r="CO18" s="1" t="str">
        <f t="shared" ref="CO18" si="1219">MID($BO17,CO$1,1)</f>
        <v>1</v>
      </c>
      <c r="CP18" s="1" t="str">
        <f t="shared" ref="CP18" si="1220">MID($BO17,CP$1,1)</f>
        <v>1</v>
      </c>
      <c r="CQ18" s="1" t="str">
        <f t="shared" ref="CQ18" si="1221">MID($BO17,CQ$1,1)</f>
        <v>1</v>
      </c>
      <c r="CR18" s="1" t="str">
        <f t="shared" ref="CR18" si="1222">MID($BO17,CR$1,1)</f>
        <v>0</v>
      </c>
      <c r="CS18" s="1" t="str">
        <f t="shared" ref="CS18" si="1223">MID($BO17,CS$1,1)</f>
        <v>1</v>
      </c>
      <c r="CT18" s="1" t="str">
        <f t="shared" ref="CT18" si="1224">MID($BO17,CT$1,1)</f>
        <v>1</v>
      </c>
      <c r="CU18" s="1" t="str">
        <f t="shared" ref="CU18" si="1225">MID($BO17,CU$1,1)</f>
        <v>0</v>
      </c>
      <c r="CV18" s="1" t="str">
        <f t="shared" ref="CV18" si="1226">MID($BO17,CV$1,1)</f>
        <v>0</v>
      </c>
      <c r="CW18" s="1" t="str">
        <f t="shared" ref="CW18" si="1227">MID($BO17,CW$1,1)</f>
        <v>0</v>
      </c>
      <c r="CX18" s="1" t="str">
        <f t="shared" ref="CX18" si="1228">MID($BO17,CX$1,1)</f>
        <v>0</v>
      </c>
      <c r="CY18" s="1" t="str">
        <f t="shared" ref="CY18" si="1229">MID($BO17,CY$1,1)</f>
        <v>1</v>
      </c>
      <c r="CZ18" s="1" t="str">
        <f t="shared" ref="CZ18" si="1230">MID($BO17,CZ$1,1)</f>
        <v>0</v>
      </c>
      <c r="DA18" s="1" t="str">
        <f t="shared" ref="DA18" si="1231">MID($BO17,DA$1,1)</f>
        <v>1</v>
      </c>
      <c r="DB18" s="1" t="str">
        <f t="shared" ref="DB18" si="1232">MID($BO17,DB$1,1)</f>
        <v>1</v>
      </c>
      <c r="DC18" s="1" t="str">
        <f t="shared" ref="DC18" si="1233">MID($BO17,DC$1,1)</f>
        <v>0</v>
      </c>
      <c r="DD18" s="1" t="str">
        <f t="shared" ref="DD18" si="1234">MID($BO17,DD$1,1)</f>
        <v>1</v>
      </c>
      <c r="DE18" s="1" t="str">
        <f t="shared" ref="DE18" si="1235">MID($BO17,DE$1,1)</f>
        <v>0</v>
      </c>
      <c r="DF18" s="1" t="str">
        <f t="shared" ref="DF18" si="1236">MID($BO17,DF$1,1)</f>
        <v>0</v>
      </c>
      <c r="DG18" s="1" t="str">
        <f t="shared" ref="DG18" si="1237">MID($BO17,DG$1,1)</f>
        <v>0</v>
      </c>
      <c r="DH18" s="1" t="str">
        <f t="shared" ref="DH18" si="1238">MID($BO17,DH$1,1)</f>
        <v>0</v>
      </c>
      <c r="DI18" s="1" t="str">
        <f t="shared" ref="DI18" si="1239">MID($BO17,DI$1,1)</f>
        <v>0</v>
      </c>
      <c r="DJ18" s="1" t="str">
        <f t="shared" ref="DJ18" si="1240">MID($BO17,DJ$1,1)</f>
        <v>0</v>
      </c>
      <c r="DK18" s="1" t="str">
        <f t="shared" ref="DK18" si="1241">MID($BO17,DK$1,1)</f>
        <v>0</v>
      </c>
      <c r="DL18" s="1" t="str">
        <f t="shared" ref="DL18" si="1242">MID($BO17,DL$1,1)</f>
        <v>0</v>
      </c>
      <c r="DM18" s="1" t="str">
        <f t="shared" ref="DM18" si="1243">MID($BO17,DM$1,1)</f>
        <v>0</v>
      </c>
      <c r="DN18" s="1" t="str">
        <f t="shared" ref="DN18" si="1244">MID($BO17,DN$1,1)</f>
        <v>1</v>
      </c>
      <c r="DO18" s="1" t="str">
        <f t="shared" ref="DO18" si="1245">MID($BO17,DO$1,1)</f>
        <v>0</v>
      </c>
      <c r="DP18" s="1" t="str">
        <f t="shared" ref="DP18" si="1246">MID($BO17,DP$1,1)</f>
        <v>0</v>
      </c>
      <c r="DQ18" s="1" t="str">
        <f t="shared" ref="DQ18" si="1247">MID($BO17,DQ$1,1)</f>
        <v>1</v>
      </c>
      <c r="DR18" s="1" t="str">
        <f t="shared" ref="DR18" si="1248">MID($BO17,DR$1,1)</f>
        <v>1</v>
      </c>
      <c r="DS18" s="1" t="str">
        <f t="shared" ref="DS18" si="1249">MID($BO17,DS$1,1)</f>
        <v>0</v>
      </c>
      <c r="DT18" s="1" t="str">
        <f t="shared" ref="DT18" si="1250">MID($BO17,DT$1,1)</f>
        <v>1</v>
      </c>
      <c r="DU18" s="1" t="str">
        <f t="shared" ref="DU18" si="1251">MID($BO17,DU$1,1)</f>
        <v>0</v>
      </c>
      <c r="DV18" s="1" t="str">
        <f t="shared" ref="DV18" si="1252">MID($BO17,DV$1,1)</f>
        <v>1</v>
      </c>
      <c r="DW18" s="1" t="str">
        <f t="shared" ref="DW18" si="1253">MID($BO17,DW$1,1)</f>
        <v>0</v>
      </c>
      <c r="DX18" s="1" t="str">
        <f t="shared" ref="DX18" si="1254">MID($BO17,DX$1,1)</f>
        <v>1</v>
      </c>
      <c r="DY18" s="1" t="str">
        <f t="shared" ref="DY18" si="1255">MID($BO17,DY$1,1)</f>
        <v>0</v>
      </c>
      <c r="DZ18" s="1" t="str">
        <f t="shared" ref="DZ18" si="1256">MID($BO17,DZ$1,1)</f>
        <v>1</v>
      </c>
      <c r="EB18" s="1">
        <f>IF(B18=BO18,0,1)</f>
        <v>1</v>
      </c>
      <c r="EC18" s="1">
        <f>IF(C18=BP18,0,1)</f>
        <v>1</v>
      </c>
      <c r="ED18" s="1">
        <f t="shared" ref="ED18" si="1257">IF(D18=BQ18,0,1)</f>
        <v>1</v>
      </c>
      <c r="EE18" s="1">
        <f t="shared" ref="EE18" si="1258">IF(E18=BR18,0,1)</f>
        <v>1</v>
      </c>
      <c r="EF18" s="1">
        <f t="shared" ref="EF18" si="1259">IF(F18=BS18,0,1)</f>
        <v>1</v>
      </c>
      <c r="EG18" s="1">
        <f t="shared" ref="EG18" si="1260">IF(G18=BT18,0,1)</f>
        <v>0</v>
      </c>
      <c r="EH18" s="1">
        <f t="shared" ref="EH18" si="1261">IF(H18=BU18,0,1)</f>
        <v>1</v>
      </c>
      <c r="EI18" s="1">
        <f t="shared" ref="EI18" si="1262">IF(I18=BV18,0,1)</f>
        <v>1</v>
      </c>
      <c r="EJ18" s="1">
        <f t="shared" ref="EJ18" si="1263">IF(J18=BW18,0,1)</f>
        <v>1</v>
      </c>
      <c r="EK18" s="1">
        <f t="shared" ref="EK18" si="1264">IF(K18=BX18,0,1)</f>
        <v>1</v>
      </c>
      <c r="EL18" s="1">
        <f t="shared" ref="EL18" si="1265">IF(L18=BY18,0,1)</f>
        <v>0</v>
      </c>
      <c r="EM18" s="1">
        <f t="shared" ref="EM18" si="1266">IF(M18=BZ18,0,1)</f>
        <v>1</v>
      </c>
      <c r="EN18" s="1">
        <f t="shared" ref="EN18" si="1267">IF(N18=CA18,0,1)</f>
        <v>1</v>
      </c>
      <c r="EO18" s="1">
        <f t="shared" ref="EO18" si="1268">IF(O18=CB18,0,1)</f>
        <v>0</v>
      </c>
      <c r="EP18" s="1">
        <f t="shared" ref="EP18" si="1269">IF(P18=CC18,0,1)</f>
        <v>0</v>
      </c>
      <c r="EQ18" s="1">
        <f t="shared" ref="EQ18" si="1270">IF(Q18=CD18,0,1)</f>
        <v>0</v>
      </c>
      <c r="ER18" s="1">
        <f t="shared" ref="ER18" si="1271">IF(R18=CE18,0,1)</f>
        <v>0</v>
      </c>
      <c r="ES18" s="1">
        <f t="shared" ref="ES18" si="1272">IF(S18=CF18,0,1)</f>
        <v>0</v>
      </c>
      <c r="ET18" s="1">
        <f t="shared" ref="ET18" si="1273">IF(T18=CG18,0,1)</f>
        <v>0</v>
      </c>
      <c r="EU18" s="1">
        <f t="shared" ref="EU18" si="1274">IF(U18=CH18,0,1)</f>
        <v>0</v>
      </c>
      <c r="EV18" s="1">
        <f t="shared" ref="EV18" si="1275">IF(V18=CI18,0,1)</f>
        <v>1</v>
      </c>
      <c r="EW18" s="1">
        <f t="shared" ref="EW18" si="1276">IF(W18=CJ18,0,1)</f>
        <v>0</v>
      </c>
      <c r="EX18" s="1">
        <f t="shared" ref="EX18" si="1277">IF(X18=CK18,0,1)</f>
        <v>1</v>
      </c>
      <c r="EY18" s="1">
        <f t="shared" ref="EY18" si="1278">IF(Y18=CL18,0,1)</f>
        <v>0</v>
      </c>
      <c r="EZ18" s="1">
        <f t="shared" ref="EZ18" si="1279">IF(Z18=CM18,0,1)</f>
        <v>0</v>
      </c>
      <c r="FA18" s="1">
        <f t="shared" ref="FA18" si="1280">IF(AA18=CN18,0,1)</f>
        <v>0</v>
      </c>
      <c r="FB18" s="1">
        <f t="shared" ref="FB18" si="1281">IF(AB18=CO18,0,1)</f>
        <v>1</v>
      </c>
      <c r="FC18" s="1">
        <f t="shared" ref="FC18" si="1282">IF(AC18=CP18,0,1)</f>
        <v>0</v>
      </c>
      <c r="FD18" s="1">
        <f t="shared" ref="FD18" si="1283">IF(AD18=CQ18,0,1)</f>
        <v>0</v>
      </c>
      <c r="FE18" s="1">
        <f t="shared" ref="FE18" si="1284">IF(AE18=CR18,0,1)</f>
        <v>0</v>
      </c>
      <c r="FF18" s="1">
        <f t="shared" ref="FF18" si="1285">IF(AF18=CS18,0,1)</f>
        <v>1</v>
      </c>
      <c r="FG18" s="1">
        <f t="shared" ref="FG18" si="1286">IF(AG18=CT18,0,1)</f>
        <v>0</v>
      </c>
      <c r="FH18" s="1">
        <f t="shared" ref="FH18" si="1287">IF(AH18=CU18,0,1)</f>
        <v>0</v>
      </c>
      <c r="FI18" s="1">
        <f t="shared" ref="FI18" si="1288">IF(AI18=CV18,0,1)</f>
        <v>0</v>
      </c>
      <c r="FJ18" s="1">
        <f t="shared" ref="FJ18" si="1289">IF(AJ18=CW18,0,1)</f>
        <v>0</v>
      </c>
      <c r="FK18" s="1">
        <f t="shared" ref="FK18" si="1290">IF(AK18=CX18,0,1)</f>
        <v>1</v>
      </c>
      <c r="FL18" s="1">
        <f t="shared" ref="FL18" si="1291">IF(AL18=CY18,0,1)</f>
        <v>0</v>
      </c>
      <c r="FM18" s="1">
        <f t="shared" ref="FM18" si="1292">IF(AM18=CZ18,0,1)</f>
        <v>1</v>
      </c>
      <c r="FN18" s="1">
        <f t="shared" ref="FN18" si="1293">IF(AN18=DA18,0,1)</f>
        <v>0</v>
      </c>
      <c r="FO18" s="1">
        <f t="shared" ref="FO18" si="1294">IF(AO18=DB18,0,1)</f>
        <v>1</v>
      </c>
      <c r="FP18" s="1">
        <f t="shared" ref="FP18" si="1295">IF(AP18=DC18,0,1)</f>
        <v>0</v>
      </c>
      <c r="FQ18" s="1">
        <f t="shared" ref="FQ18" si="1296">IF(AQ18=DD18,0,1)</f>
        <v>1</v>
      </c>
      <c r="FR18" s="1">
        <f t="shared" ref="FR18" si="1297">IF(AR18=DE18,0,1)</f>
        <v>1</v>
      </c>
      <c r="FS18" s="1">
        <f t="shared" ref="FS18" si="1298">IF(AS18=DF18,0,1)</f>
        <v>1</v>
      </c>
      <c r="FT18" s="1">
        <f t="shared" ref="FT18" si="1299">IF(AT18=DG18,0,1)</f>
        <v>1</v>
      </c>
      <c r="FU18" s="1">
        <f t="shared" ref="FU18" si="1300">IF(AU18=DH18,0,1)</f>
        <v>0</v>
      </c>
      <c r="FV18" s="1">
        <f t="shared" ref="FV18" si="1301">IF(AV18=DI18,0,1)</f>
        <v>0</v>
      </c>
      <c r="FW18" s="1">
        <f t="shared" ref="FW18" si="1302">IF(AW18=DJ18,0,1)</f>
        <v>1</v>
      </c>
      <c r="FX18" s="1">
        <f t="shared" ref="FX18" si="1303">IF(AX18=DK18,0,1)</f>
        <v>0</v>
      </c>
      <c r="FY18" s="1">
        <f t="shared" ref="FY18" si="1304">IF(AY18=DL18,0,1)</f>
        <v>1</v>
      </c>
      <c r="FZ18" s="1">
        <f t="shared" ref="FZ18" si="1305">IF(AZ18=DM18,0,1)</f>
        <v>0</v>
      </c>
      <c r="GA18" s="1">
        <f t="shared" ref="GA18" si="1306">IF(BA18=DN18,0,1)</f>
        <v>1</v>
      </c>
      <c r="GB18" s="1">
        <f t="shared" ref="GB18" si="1307">IF(BB18=DO18,0,1)</f>
        <v>1</v>
      </c>
      <c r="GC18" s="1">
        <f t="shared" ref="GC18" si="1308">IF(BC18=DP18,0,1)</f>
        <v>0</v>
      </c>
      <c r="GD18" s="1">
        <f t="shared" ref="GD18" si="1309">IF(BD18=DQ18,0,1)</f>
        <v>1</v>
      </c>
      <c r="GE18" s="1">
        <f t="shared" ref="GE18" si="1310">IF(BE18=DR18,0,1)</f>
        <v>0</v>
      </c>
      <c r="GF18" s="1">
        <f t="shared" ref="GF18" si="1311">IF(BF18=DS18,0,1)</f>
        <v>0</v>
      </c>
      <c r="GG18" s="1">
        <f t="shared" ref="GG18" si="1312">IF(BG18=DT18,0,1)</f>
        <v>0</v>
      </c>
      <c r="GH18" s="1">
        <f t="shared" ref="GH18" si="1313">IF(BH18=DU18,0,1)</f>
        <v>0</v>
      </c>
      <c r="GI18" s="1">
        <f t="shared" ref="GI18" si="1314">IF(BI18=DV18,0,1)</f>
        <v>0</v>
      </c>
      <c r="GJ18" s="1">
        <f t="shared" ref="GJ18" si="1315">IF(BJ18=DW18,0,1)</f>
        <v>1</v>
      </c>
      <c r="GK18" s="1">
        <f t="shared" ref="GK18" si="1316">IF(BK18=DX18,0,1)</f>
        <v>1</v>
      </c>
      <c r="GL18" s="1">
        <f t="shared" ref="GL18" si="1317">IF(BL18=DY18,0,1)</f>
        <v>0</v>
      </c>
      <c r="GM18" s="1">
        <f t="shared" ref="GM18" si="1318">IF(BM18=DZ18,0,1)</f>
        <v>0</v>
      </c>
      <c r="GO18" s="27">
        <f>SUM(EB18:GM18)</f>
        <v>29</v>
      </c>
      <c r="GT18" s="3">
        <v>15</v>
      </c>
      <c r="GU18" s="5" t="s">
        <v>95</v>
      </c>
      <c r="GV18" s="5"/>
      <c r="GW18" s="28" t="s">
        <v>96</v>
      </c>
    </row>
    <row r="19" spans="1:205">
      <c r="A19" s="2">
        <v>8</v>
      </c>
      <c r="B19" t="str">
        <f>VLOOKUP(A19,MESSAGE,2,FALSE)</f>
        <v>1000100000011110100011000000010001111000111111000010000001011001</v>
      </c>
      <c r="BO19" t="str">
        <f>VLOOKUP(A19,MESSAGE, 4,FALSE)</f>
        <v>0110001101100011010100011000101010000011001001000010101001111011</v>
      </c>
      <c r="GT19" s="3">
        <v>16</v>
      </c>
      <c r="GU19" s="5" t="s">
        <v>97</v>
      </c>
      <c r="GV19" s="5"/>
      <c r="GW19" s="28" t="s">
        <v>98</v>
      </c>
    </row>
    <row r="20" spans="1:205">
      <c r="A20" s="2"/>
      <c r="B20" s="1" t="str">
        <f>MID($B19,B$1,1)</f>
        <v>1</v>
      </c>
      <c r="C20" s="1" t="str">
        <f t="shared" ref="C20" si="1319">MID($B19,C$1,1)</f>
        <v>0</v>
      </c>
      <c r="D20" s="1" t="str">
        <f t="shared" ref="D20" si="1320">MID($B19,D$1,1)</f>
        <v>0</v>
      </c>
      <c r="E20" s="1" t="str">
        <f t="shared" ref="E20" si="1321">MID($B19,E$1,1)</f>
        <v>0</v>
      </c>
      <c r="F20" s="1" t="str">
        <f t="shared" ref="F20" si="1322">MID($B19,F$1,1)</f>
        <v>1</v>
      </c>
      <c r="G20" s="1" t="str">
        <f t="shared" ref="G20" si="1323">MID($B19,G$1,1)</f>
        <v>0</v>
      </c>
      <c r="H20" s="1" t="str">
        <f t="shared" ref="H20" si="1324">MID($B19,H$1,1)</f>
        <v>0</v>
      </c>
      <c r="I20" s="1" t="str">
        <f t="shared" ref="I20" si="1325">MID($B19,I$1,1)</f>
        <v>0</v>
      </c>
      <c r="J20" s="1" t="str">
        <f t="shared" ref="J20" si="1326">MID($B19,J$1,1)</f>
        <v>0</v>
      </c>
      <c r="K20" s="1" t="str">
        <f t="shared" ref="K20" si="1327">MID($B19,K$1,1)</f>
        <v>0</v>
      </c>
      <c r="L20" s="1" t="str">
        <f t="shared" ref="L20" si="1328">MID($B19,L$1,1)</f>
        <v>0</v>
      </c>
      <c r="M20" s="1" t="str">
        <f t="shared" ref="M20" si="1329">MID($B19,M$1,1)</f>
        <v>1</v>
      </c>
      <c r="N20" s="1" t="str">
        <f t="shared" ref="N20" si="1330">MID($B19,N$1,1)</f>
        <v>1</v>
      </c>
      <c r="O20" s="1" t="str">
        <f t="shared" ref="O20" si="1331">MID($B19,O$1,1)</f>
        <v>1</v>
      </c>
      <c r="P20" s="1" t="str">
        <f t="shared" ref="P20" si="1332">MID($B19,P$1,1)</f>
        <v>1</v>
      </c>
      <c r="Q20" s="1" t="str">
        <f t="shared" ref="Q20" si="1333">MID($B19,Q$1,1)</f>
        <v>0</v>
      </c>
      <c r="R20" s="1" t="str">
        <f t="shared" ref="R20" si="1334">MID($B19,R$1,1)</f>
        <v>1</v>
      </c>
      <c r="S20" s="1" t="str">
        <f t="shared" ref="S20" si="1335">MID($B19,S$1,1)</f>
        <v>0</v>
      </c>
      <c r="T20" s="1" t="str">
        <f t="shared" ref="T20" si="1336">MID($B19,T$1,1)</f>
        <v>0</v>
      </c>
      <c r="U20" s="1" t="str">
        <f t="shared" ref="U20" si="1337">MID($B19,U$1,1)</f>
        <v>0</v>
      </c>
      <c r="V20" s="1" t="str">
        <f t="shared" ref="V20" si="1338">MID($B19,V$1,1)</f>
        <v>1</v>
      </c>
      <c r="W20" s="1" t="str">
        <f t="shared" ref="W20" si="1339">MID($B19,W$1,1)</f>
        <v>1</v>
      </c>
      <c r="X20" s="1" t="str">
        <f t="shared" ref="X20" si="1340">MID($B19,X$1,1)</f>
        <v>0</v>
      </c>
      <c r="Y20" s="1" t="str">
        <f t="shared" ref="Y20" si="1341">MID($B19,Y$1,1)</f>
        <v>0</v>
      </c>
      <c r="Z20" s="1" t="str">
        <f t="shared" ref="Z20" si="1342">MID($B19,Z$1,1)</f>
        <v>0</v>
      </c>
      <c r="AA20" s="1" t="str">
        <f t="shared" ref="AA20" si="1343">MID($B19,AA$1,1)</f>
        <v>0</v>
      </c>
      <c r="AB20" s="1" t="str">
        <f t="shared" ref="AB20" si="1344">MID($B19,AB$1,1)</f>
        <v>0</v>
      </c>
      <c r="AC20" s="1" t="str">
        <f t="shared" ref="AC20" si="1345">MID($B19,AC$1,1)</f>
        <v>0</v>
      </c>
      <c r="AD20" s="1" t="str">
        <f t="shared" ref="AD20" si="1346">MID($B19,AD$1,1)</f>
        <v>0</v>
      </c>
      <c r="AE20" s="1" t="str">
        <f t="shared" ref="AE20" si="1347">MID($B19,AE$1,1)</f>
        <v>1</v>
      </c>
      <c r="AF20" s="1" t="str">
        <f t="shared" ref="AF20" si="1348">MID($B19,AF$1,1)</f>
        <v>0</v>
      </c>
      <c r="AG20" s="1" t="str">
        <f t="shared" ref="AG20" si="1349">MID($B19,AG$1,1)</f>
        <v>0</v>
      </c>
      <c r="AH20" s="1" t="str">
        <f t="shared" ref="AH20" si="1350">MID($B19,AH$1,1)</f>
        <v>0</v>
      </c>
      <c r="AI20" s="1" t="str">
        <f t="shared" ref="AI20" si="1351">MID($B19,AI$1,1)</f>
        <v>1</v>
      </c>
      <c r="AJ20" s="1" t="str">
        <f t="shared" ref="AJ20" si="1352">MID($B19,AJ$1,1)</f>
        <v>1</v>
      </c>
      <c r="AK20" s="1" t="str">
        <f t="shared" ref="AK20" si="1353">MID($B19,AK$1,1)</f>
        <v>1</v>
      </c>
      <c r="AL20" s="1" t="str">
        <f t="shared" ref="AL20" si="1354">MID($B19,AL$1,1)</f>
        <v>1</v>
      </c>
      <c r="AM20" s="1" t="str">
        <f t="shared" ref="AM20" si="1355">MID($B19,AM$1,1)</f>
        <v>0</v>
      </c>
      <c r="AN20" s="1" t="str">
        <f t="shared" ref="AN20" si="1356">MID($B19,AN$1,1)</f>
        <v>0</v>
      </c>
      <c r="AO20" s="1" t="str">
        <f t="shared" ref="AO20" si="1357">MID($B19,AO$1,1)</f>
        <v>0</v>
      </c>
      <c r="AP20" s="1" t="str">
        <f t="shared" ref="AP20" si="1358">MID($B19,AP$1,1)</f>
        <v>1</v>
      </c>
      <c r="AQ20" s="1" t="str">
        <f t="shared" ref="AQ20" si="1359">MID($B19,AQ$1,1)</f>
        <v>1</v>
      </c>
      <c r="AR20" s="1" t="str">
        <f t="shared" ref="AR20" si="1360">MID($B19,AR$1,1)</f>
        <v>1</v>
      </c>
      <c r="AS20" s="1" t="str">
        <f t="shared" ref="AS20" si="1361">MID($B19,AS$1,1)</f>
        <v>1</v>
      </c>
      <c r="AT20" s="1" t="str">
        <f t="shared" ref="AT20" si="1362">MID($B19,AT$1,1)</f>
        <v>1</v>
      </c>
      <c r="AU20" s="1" t="str">
        <f t="shared" ref="AU20" si="1363">MID($B19,AU$1,1)</f>
        <v>1</v>
      </c>
      <c r="AV20" s="1" t="str">
        <f t="shared" ref="AV20" si="1364">MID($B19,AV$1,1)</f>
        <v>0</v>
      </c>
      <c r="AW20" s="1" t="str">
        <f t="shared" ref="AW20" si="1365">MID($B19,AW$1,1)</f>
        <v>0</v>
      </c>
      <c r="AX20" s="1" t="str">
        <f t="shared" ref="AX20" si="1366">MID($B19,AX$1,1)</f>
        <v>0</v>
      </c>
      <c r="AY20" s="1" t="str">
        <f t="shared" ref="AY20" si="1367">MID($B19,AY$1,1)</f>
        <v>0</v>
      </c>
      <c r="AZ20" s="1" t="str">
        <f t="shared" ref="AZ20" si="1368">MID($B19,AZ$1,1)</f>
        <v>1</v>
      </c>
      <c r="BA20" s="1" t="str">
        <f t="shared" ref="BA20" si="1369">MID($B19,BA$1,1)</f>
        <v>0</v>
      </c>
      <c r="BB20" s="1" t="str">
        <f t="shared" ref="BB20" si="1370">MID($B19,BB$1,1)</f>
        <v>0</v>
      </c>
      <c r="BC20" s="1" t="str">
        <f t="shared" ref="BC20" si="1371">MID($B19,BC$1,1)</f>
        <v>0</v>
      </c>
      <c r="BD20" s="1" t="str">
        <f t="shared" ref="BD20" si="1372">MID($B19,BD$1,1)</f>
        <v>0</v>
      </c>
      <c r="BE20" s="1" t="str">
        <f t="shared" ref="BE20" si="1373">MID($B19,BE$1,1)</f>
        <v>0</v>
      </c>
      <c r="BF20" s="1" t="str">
        <f t="shared" ref="BF20" si="1374">MID($B19,BF$1,1)</f>
        <v>0</v>
      </c>
      <c r="BG20" s="1" t="str">
        <f t="shared" ref="BG20" si="1375">MID($B19,BG$1,1)</f>
        <v>1</v>
      </c>
      <c r="BH20" s="1" t="str">
        <f t="shared" ref="BH20" si="1376">MID($B19,BH$1,1)</f>
        <v>0</v>
      </c>
      <c r="BI20" s="1" t="str">
        <f t="shared" ref="BI20" si="1377">MID($B19,BI$1,1)</f>
        <v>1</v>
      </c>
      <c r="BJ20" s="1" t="str">
        <f t="shared" ref="BJ20" si="1378">MID($B19,BJ$1,1)</f>
        <v>1</v>
      </c>
      <c r="BK20" s="1" t="str">
        <f t="shared" ref="BK20" si="1379">MID($B19,BK$1,1)</f>
        <v>0</v>
      </c>
      <c r="BL20" s="1" t="str">
        <f t="shared" ref="BL20" si="1380">MID($B19,BL$1,1)</f>
        <v>0</v>
      </c>
      <c r="BM20" s="1" t="str">
        <f t="shared" ref="BM20" si="1381">MID($B19,BM$1,1)</f>
        <v>1</v>
      </c>
      <c r="BN20" s="1"/>
      <c r="BO20" s="1" t="str">
        <f>MID($BO19,BO$1,1)</f>
        <v>0</v>
      </c>
      <c r="BP20" s="1" t="str">
        <f t="shared" ref="BP20" si="1382">MID($BO19,BP$1,1)</f>
        <v>1</v>
      </c>
      <c r="BQ20" s="1" t="str">
        <f t="shared" ref="BQ20" si="1383">MID($BO19,BQ$1,1)</f>
        <v>1</v>
      </c>
      <c r="BR20" s="1" t="str">
        <f t="shared" ref="BR20" si="1384">MID($BO19,BR$1,1)</f>
        <v>0</v>
      </c>
      <c r="BS20" s="1" t="str">
        <f t="shared" ref="BS20" si="1385">MID($BO19,BS$1,1)</f>
        <v>0</v>
      </c>
      <c r="BT20" s="1" t="str">
        <f t="shared" ref="BT20" si="1386">MID($BO19,BT$1,1)</f>
        <v>0</v>
      </c>
      <c r="BU20" s="1" t="str">
        <f t="shared" ref="BU20" si="1387">MID($BO19,BU$1,1)</f>
        <v>1</v>
      </c>
      <c r="BV20" s="1" t="str">
        <f t="shared" ref="BV20" si="1388">MID($BO19,BV$1,1)</f>
        <v>1</v>
      </c>
      <c r="BW20" s="1" t="str">
        <f t="shared" ref="BW20" si="1389">MID($BO19,BW$1,1)</f>
        <v>0</v>
      </c>
      <c r="BX20" s="1" t="str">
        <f t="shared" ref="BX20" si="1390">MID($BO19,BX$1,1)</f>
        <v>1</v>
      </c>
      <c r="BY20" s="1" t="str">
        <f t="shared" ref="BY20" si="1391">MID($BO19,BY$1,1)</f>
        <v>1</v>
      </c>
      <c r="BZ20" s="1" t="str">
        <f t="shared" ref="BZ20" si="1392">MID($BO19,BZ$1,1)</f>
        <v>0</v>
      </c>
      <c r="CA20" s="1" t="str">
        <f t="shared" ref="CA20" si="1393">MID($BO19,CA$1,1)</f>
        <v>0</v>
      </c>
      <c r="CB20" s="1" t="str">
        <f t="shared" ref="CB20" si="1394">MID($BO19,CB$1,1)</f>
        <v>0</v>
      </c>
      <c r="CC20" s="1" t="str">
        <f t="shared" ref="CC20" si="1395">MID($BO19,CC$1,1)</f>
        <v>1</v>
      </c>
      <c r="CD20" s="1" t="str">
        <f t="shared" ref="CD20" si="1396">MID($BO19,CD$1,1)</f>
        <v>1</v>
      </c>
      <c r="CE20" s="1" t="str">
        <f t="shared" ref="CE20" si="1397">MID($BO19,CE$1,1)</f>
        <v>0</v>
      </c>
      <c r="CF20" s="1" t="str">
        <f t="shared" ref="CF20" si="1398">MID($BO19,CF$1,1)</f>
        <v>1</v>
      </c>
      <c r="CG20" s="1" t="str">
        <f t="shared" ref="CG20" si="1399">MID($BO19,CG$1,1)</f>
        <v>0</v>
      </c>
      <c r="CH20" s="1" t="str">
        <f t="shared" ref="CH20" si="1400">MID($BO19,CH$1,1)</f>
        <v>1</v>
      </c>
      <c r="CI20" s="1" t="str">
        <f t="shared" ref="CI20" si="1401">MID($BO19,CI$1,1)</f>
        <v>0</v>
      </c>
      <c r="CJ20" s="1" t="str">
        <f t="shared" ref="CJ20" si="1402">MID($BO19,CJ$1,1)</f>
        <v>0</v>
      </c>
      <c r="CK20" s="1" t="str">
        <f t="shared" ref="CK20" si="1403">MID($BO19,CK$1,1)</f>
        <v>0</v>
      </c>
      <c r="CL20" s="1" t="str">
        <f t="shared" ref="CL20" si="1404">MID($BO19,CL$1,1)</f>
        <v>1</v>
      </c>
      <c r="CM20" s="1" t="str">
        <f t="shared" ref="CM20" si="1405">MID($BO19,CM$1,1)</f>
        <v>1</v>
      </c>
      <c r="CN20" s="1" t="str">
        <f t="shared" ref="CN20" si="1406">MID($BO19,CN$1,1)</f>
        <v>0</v>
      </c>
      <c r="CO20" s="1" t="str">
        <f t="shared" ref="CO20" si="1407">MID($BO19,CO$1,1)</f>
        <v>0</v>
      </c>
      <c r="CP20" s="1" t="str">
        <f t="shared" ref="CP20" si="1408">MID($BO19,CP$1,1)</f>
        <v>0</v>
      </c>
      <c r="CQ20" s="1" t="str">
        <f t="shared" ref="CQ20" si="1409">MID($BO19,CQ$1,1)</f>
        <v>1</v>
      </c>
      <c r="CR20" s="1" t="str">
        <f t="shared" ref="CR20" si="1410">MID($BO19,CR$1,1)</f>
        <v>0</v>
      </c>
      <c r="CS20" s="1" t="str">
        <f t="shared" ref="CS20" si="1411">MID($BO19,CS$1,1)</f>
        <v>1</v>
      </c>
      <c r="CT20" s="1" t="str">
        <f t="shared" ref="CT20" si="1412">MID($BO19,CT$1,1)</f>
        <v>0</v>
      </c>
      <c r="CU20" s="1" t="str">
        <f t="shared" ref="CU20" si="1413">MID($BO19,CU$1,1)</f>
        <v>1</v>
      </c>
      <c r="CV20" s="1" t="str">
        <f t="shared" ref="CV20" si="1414">MID($BO19,CV$1,1)</f>
        <v>0</v>
      </c>
      <c r="CW20" s="1" t="str">
        <f t="shared" ref="CW20" si="1415">MID($BO19,CW$1,1)</f>
        <v>0</v>
      </c>
      <c r="CX20" s="1" t="str">
        <f t="shared" ref="CX20" si="1416">MID($BO19,CX$1,1)</f>
        <v>0</v>
      </c>
      <c r="CY20" s="1" t="str">
        <f t="shared" ref="CY20" si="1417">MID($BO19,CY$1,1)</f>
        <v>0</v>
      </c>
      <c r="CZ20" s="1" t="str">
        <f t="shared" ref="CZ20" si="1418">MID($BO19,CZ$1,1)</f>
        <v>0</v>
      </c>
      <c r="DA20" s="1" t="str">
        <f t="shared" ref="DA20" si="1419">MID($BO19,DA$1,1)</f>
        <v>1</v>
      </c>
      <c r="DB20" s="1" t="str">
        <f t="shared" ref="DB20" si="1420">MID($BO19,DB$1,1)</f>
        <v>1</v>
      </c>
      <c r="DC20" s="1" t="str">
        <f t="shared" ref="DC20" si="1421">MID($BO19,DC$1,1)</f>
        <v>0</v>
      </c>
      <c r="DD20" s="1" t="str">
        <f t="shared" ref="DD20" si="1422">MID($BO19,DD$1,1)</f>
        <v>0</v>
      </c>
      <c r="DE20" s="1" t="str">
        <f t="shared" ref="DE20" si="1423">MID($BO19,DE$1,1)</f>
        <v>1</v>
      </c>
      <c r="DF20" s="1" t="str">
        <f t="shared" ref="DF20" si="1424">MID($BO19,DF$1,1)</f>
        <v>0</v>
      </c>
      <c r="DG20" s="1" t="str">
        <f t="shared" ref="DG20" si="1425">MID($BO19,DG$1,1)</f>
        <v>0</v>
      </c>
      <c r="DH20" s="1" t="str">
        <f t="shared" ref="DH20" si="1426">MID($BO19,DH$1,1)</f>
        <v>1</v>
      </c>
      <c r="DI20" s="1" t="str">
        <f t="shared" ref="DI20" si="1427">MID($BO19,DI$1,1)</f>
        <v>0</v>
      </c>
      <c r="DJ20" s="1" t="str">
        <f t="shared" ref="DJ20" si="1428">MID($BO19,DJ$1,1)</f>
        <v>0</v>
      </c>
      <c r="DK20" s="1" t="str">
        <f t="shared" ref="DK20" si="1429">MID($BO19,DK$1,1)</f>
        <v>0</v>
      </c>
      <c r="DL20" s="1" t="str">
        <f t="shared" ref="DL20" si="1430">MID($BO19,DL$1,1)</f>
        <v>0</v>
      </c>
      <c r="DM20" s="1" t="str">
        <f t="shared" ref="DM20" si="1431">MID($BO19,DM$1,1)</f>
        <v>1</v>
      </c>
      <c r="DN20" s="1" t="str">
        <f t="shared" ref="DN20" si="1432">MID($BO19,DN$1,1)</f>
        <v>0</v>
      </c>
      <c r="DO20" s="1" t="str">
        <f t="shared" ref="DO20" si="1433">MID($BO19,DO$1,1)</f>
        <v>1</v>
      </c>
      <c r="DP20" s="1" t="str">
        <f t="shared" ref="DP20" si="1434">MID($BO19,DP$1,1)</f>
        <v>0</v>
      </c>
      <c r="DQ20" s="1" t="str">
        <f t="shared" ref="DQ20" si="1435">MID($BO19,DQ$1,1)</f>
        <v>1</v>
      </c>
      <c r="DR20" s="1" t="str">
        <f t="shared" ref="DR20" si="1436">MID($BO19,DR$1,1)</f>
        <v>0</v>
      </c>
      <c r="DS20" s="1" t="str">
        <f t="shared" ref="DS20" si="1437">MID($BO19,DS$1,1)</f>
        <v>0</v>
      </c>
      <c r="DT20" s="1" t="str">
        <f t="shared" ref="DT20" si="1438">MID($BO19,DT$1,1)</f>
        <v>1</v>
      </c>
      <c r="DU20" s="1" t="str">
        <f t="shared" ref="DU20" si="1439">MID($BO19,DU$1,1)</f>
        <v>1</v>
      </c>
      <c r="DV20" s="1" t="str">
        <f t="shared" ref="DV20" si="1440">MID($BO19,DV$1,1)</f>
        <v>1</v>
      </c>
      <c r="DW20" s="1" t="str">
        <f t="shared" ref="DW20" si="1441">MID($BO19,DW$1,1)</f>
        <v>1</v>
      </c>
      <c r="DX20" s="1" t="str">
        <f t="shared" ref="DX20" si="1442">MID($BO19,DX$1,1)</f>
        <v>0</v>
      </c>
      <c r="DY20" s="1" t="str">
        <f t="shared" ref="DY20" si="1443">MID($BO19,DY$1,1)</f>
        <v>1</v>
      </c>
      <c r="DZ20" s="1" t="str">
        <f t="shared" ref="DZ20" si="1444">MID($BO19,DZ$1,1)</f>
        <v>1</v>
      </c>
      <c r="EB20" s="1">
        <f>IF(B20=BO20,0,1)</f>
        <v>1</v>
      </c>
      <c r="EC20" s="1">
        <f>IF(C20=BP20,0,1)</f>
        <v>1</v>
      </c>
      <c r="ED20" s="1">
        <f t="shared" ref="ED20" si="1445">IF(D20=BQ20,0,1)</f>
        <v>1</v>
      </c>
      <c r="EE20" s="1">
        <f t="shared" ref="EE20" si="1446">IF(E20=BR20,0,1)</f>
        <v>0</v>
      </c>
      <c r="EF20" s="1">
        <f t="shared" ref="EF20" si="1447">IF(F20=BS20,0,1)</f>
        <v>1</v>
      </c>
      <c r="EG20" s="1">
        <f t="shared" ref="EG20" si="1448">IF(G20=BT20,0,1)</f>
        <v>0</v>
      </c>
      <c r="EH20" s="1">
        <f t="shared" ref="EH20" si="1449">IF(H20=BU20,0,1)</f>
        <v>1</v>
      </c>
      <c r="EI20" s="1">
        <f t="shared" ref="EI20" si="1450">IF(I20=BV20,0,1)</f>
        <v>1</v>
      </c>
      <c r="EJ20" s="1">
        <f t="shared" ref="EJ20" si="1451">IF(J20=BW20,0,1)</f>
        <v>0</v>
      </c>
      <c r="EK20" s="1">
        <f t="shared" ref="EK20" si="1452">IF(K20=BX20,0,1)</f>
        <v>1</v>
      </c>
      <c r="EL20" s="1">
        <f t="shared" ref="EL20" si="1453">IF(L20=BY20,0,1)</f>
        <v>1</v>
      </c>
      <c r="EM20" s="1">
        <f t="shared" ref="EM20" si="1454">IF(M20=BZ20,0,1)</f>
        <v>1</v>
      </c>
      <c r="EN20" s="1">
        <f t="shared" ref="EN20" si="1455">IF(N20=CA20,0,1)</f>
        <v>1</v>
      </c>
      <c r="EO20" s="1">
        <f t="shared" ref="EO20" si="1456">IF(O20=CB20,0,1)</f>
        <v>1</v>
      </c>
      <c r="EP20" s="1">
        <f t="shared" ref="EP20" si="1457">IF(P20=CC20,0,1)</f>
        <v>0</v>
      </c>
      <c r="EQ20" s="1">
        <f t="shared" ref="EQ20" si="1458">IF(Q20=CD20,0,1)</f>
        <v>1</v>
      </c>
      <c r="ER20" s="1">
        <f t="shared" ref="ER20" si="1459">IF(R20=CE20,0,1)</f>
        <v>1</v>
      </c>
      <c r="ES20" s="1">
        <f t="shared" ref="ES20" si="1460">IF(S20=CF20,0,1)</f>
        <v>1</v>
      </c>
      <c r="ET20" s="1">
        <f t="shared" ref="ET20" si="1461">IF(T20=CG20,0,1)</f>
        <v>0</v>
      </c>
      <c r="EU20" s="1">
        <f t="shared" ref="EU20" si="1462">IF(U20=CH20,0,1)</f>
        <v>1</v>
      </c>
      <c r="EV20" s="1">
        <f t="shared" ref="EV20" si="1463">IF(V20=CI20,0,1)</f>
        <v>1</v>
      </c>
      <c r="EW20" s="1">
        <f t="shared" ref="EW20" si="1464">IF(W20=CJ20,0,1)</f>
        <v>1</v>
      </c>
      <c r="EX20" s="1">
        <f t="shared" ref="EX20" si="1465">IF(X20=CK20,0,1)</f>
        <v>0</v>
      </c>
      <c r="EY20" s="1">
        <f t="shared" ref="EY20" si="1466">IF(Y20=CL20,0,1)</f>
        <v>1</v>
      </c>
      <c r="EZ20" s="1">
        <f t="shared" ref="EZ20" si="1467">IF(Z20=CM20,0,1)</f>
        <v>1</v>
      </c>
      <c r="FA20" s="1">
        <f t="shared" ref="FA20" si="1468">IF(AA20=CN20,0,1)</f>
        <v>0</v>
      </c>
      <c r="FB20" s="1">
        <f t="shared" ref="FB20" si="1469">IF(AB20=CO20,0,1)</f>
        <v>0</v>
      </c>
      <c r="FC20" s="1">
        <f t="shared" ref="FC20" si="1470">IF(AC20=CP20,0,1)</f>
        <v>0</v>
      </c>
      <c r="FD20" s="1">
        <f t="shared" ref="FD20" si="1471">IF(AD20=CQ20,0,1)</f>
        <v>1</v>
      </c>
      <c r="FE20" s="1">
        <f t="shared" ref="FE20" si="1472">IF(AE20=CR20,0,1)</f>
        <v>1</v>
      </c>
      <c r="FF20" s="1">
        <f t="shared" ref="FF20" si="1473">IF(AF20=CS20,0,1)</f>
        <v>1</v>
      </c>
      <c r="FG20" s="1">
        <f t="shared" ref="FG20" si="1474">IF(AG20=CT20,0,1)</f>
        <v>0</v>
      </c>
      <c r="FH20" s="1">
        <f t="shared" ref="FH20" si="1475">IF(AH20=CU20,0,1)</f>
        <v>1</v>
      </c>
      <c r="FI20" s="1">
        <f t="shared" ref="FI20" si="1476">IF(AI20=CV20,0,1)</f>
        <v>1</v>
      </c>
      <c r="FJ20" s="1">
        <f t="shared" ref="FJ20" si="1477">IF(AJ20=CW20,0,1)</f>
        <v>1</v>
      </c>
      <c r="FK20" s="1">
        <f t="shared" ref="FK20" si="1478">IF(AK20=CX20,0,1)</f>
        <v>1</v>
      </c>
      <c r="FL20" s="1">
        <f t="shared" ref="FL20" si="1479">IF(AL20=CY20,0,1)</f>
        <v>1</v>
      </c>
      <c r="FM20" s="1">
        <f t="shared" ref="FM20" si="1480">IF(AM20=CZ20,0,1)</f>
        <v>0</v>
      </c>
      <c r="FN20" s="1">
        <f t="shared" ref="FN20" si="1481">IF(AN20=DA20,0,1)</f>
        <v>1</v>
      </c>
      <c r="FO20" s="1">
        <f t="shared" ref="FO20" si="1482">IF(AO20=DB20,0,1)</f>
        <v>1</v>
      </c>
      <c r="FP20" s="1">
        <f t="shared" ref="FP20" si="1483">IF(AP20=DC20,0,1)</f>
        <v>1</v>
      </c>
      <c r="FQ20" s="1">
        <f t="shared" ref="FQ20" si="1484">IF(AQ20=DD20,0,1)</f>
        <v>1</v>
      </c>
      <c r="FR20" s="1">
        <f t="shared" ref="FR20" si="1485">IF(AR20=DE20,0,1)</f>
        <v>0</v>
      </c>
      <c r="FS20" s="1">
        <f t="shared" ref="FS20" si="1486">IF(AS20=DF20,0,1)</f>
        <v>1</v>
      </c>
      <c r="FT20" s="1">
        <f t="shared" ref="FT20" si="1487">IF(AT20=DG20,0,1)</f>
        <v>1</v>
      </c>
      <c r="FU20" s="1">
        <f t="shared" ref="FU20" si="1488">IF(AU20=DH20,0,1)</f>
        <v>0</v>
      </c>
      <c r="FV20" s="1">
        <f t="shared" ref="FV20" si="1489">IF(AV20=DI20,0,1)</f>
        <v>0</v>
      </c>
      <c r="FW20" s="1">
        <f t="shared" ref="FW20" si="1490">IF(AW20=DJ20,0,1)</f>
        <v>0</v>
      </c>
      <c r="FX20" s="1">
        <f t="shared" ref="FX20" si="1491">IF(AX20=DK20,0,1)</f>
        <v>0</v>
      </c>
      <c r="FY20" s="1">
        <f t="shared" ref="FY20" si="1492">IF(AY20=DL20,0,1)</f>
        <v>0</v>
      </c>
      <c r="FZ20" s="1">
        <f t="shared" ref="FZ20" si="1493">IF(AZ20=DM20,0,1)</f>
        <v>0</v>
      </c>
      <c r="GA20" s="1">
        <f t="shared" ref="GA20" si="1494">IF(BA20=DN20,0,1)</f>
        <v>0</v>
      </c>
      <c r="GB20" s="1">
        <f t="shared" ref="GB20" si="1495">IF(BB20=DO20,0,1)</f>
        <v>1</v>
      </c>
      <c r="GC20" s="1">
        <f t="shared" ref="GC20" si="1496">IF(BC20=DP20,0,1)</f>
        <v>0</v>
      </c>
      <c r="GD20" s="1">
        <f t="shared" ref="GD20" si="1497">IF(BD20=DQ20,0,1)</f>
        <v>1</v>
      </c>
      <c r="GE20" s="1">
        <f t="shared" ref="GE20" si="1498">IF(BE20=DR20,0,1)</f>
        <v>0</v>
      </c>
      <c r="GF20" s="1">
        <f t="shared" ref="GF20" si="1499">IF(BF20=DS20,0,1)</f>
        <v>0</v>
      </c>
      <c r="GG20" s="1">
        <f t="shared" ref="GG20" si="1500">IF(BG20=DT20,0,1)</f>
        <v>0</v>
      </c>
      <c r="GH20" s="1">
        <f t="shared" ref="GH20" si="1501">IF(BH20=DU20,0,1)</f>
        <v>1</v>
      </c>
      <c r="GI20" s="1">
        <f t="shared" ref="GI20" si="1502">IF(BI20=DV20,0,1)</f>
        <v>0</v>
      </c>
      <c r="GJ20" s="1">
        <f t="shared" ref="GJ20" si="1503">IF(BJ20=DW20,0,1)</f>
        <v>0</v>
      </c>
      <c r="GK20" s="1">
        <f t="shared" ref="GK20" si="1504">IF(BK20=DX20,0,1)</f>
        <v>0</v>
      </c>
      <c r="GL20" s="1">
        <f t="shared" ref="GL20" si="1505">IF(BL20=DY20,0,1)</f>
        <v>1</v>
      </c>
      <c r="GM20" s="1">
        <f t="shared" ref="GM20" si="1506">IF(BM20=DZ20,0,1)</f>
        <v>0</v>
      </c>
      <c r="GO20" s="27">
        <f>SUM(EB20:GM20)</f>
        <v>37</v>
      </c>
    </row>
    <row r="21" spans="1:205">
      <c r="A21" s="2">
        <v>9</v>
      </c>
      <c r="B21" t="str">
        <f>VLOOKUP(A21,MESSAGE,2,FALSE)</f>
        <v>0010000000110101000111010000101110001000000111101000110000000100</v>
      </c>
      <c r="BO21" t="str">
        <f>VLOOKUP(A21,MESSAGE, 4,FALSE)</f>
        <v>1101101111011001110100111010100001100011011000110101000110001010</v>
      </c>
    </row>
    <row r="22" spans="1:205">
      <c r="A22" s="2"/>
      <c r="B22" s="1" t="str">
        <f>MID($B21,B$1,1)</f>
        <v>0</v>
      </c>
      <c r="C22" s="1" t="str">
        <f t="shared" ref="C22" si="1507">MID($B21,C$1,1)</f>
        <v>0</v>
      </c>
      <c r="D22" s="1" t="str">
        <f t="shared" ref="D22" si="1508">MID($B21,D$1,1)</f>
        <v>1</v>
      </c>
      <c r="E22" s="1" t="str">
        <f t="shared" ref="E22" si="1509">MID($B21,E$1,1)</f>
        <v>0</v>
      </c>
      <c r="F22" s="1" t="str">
        <f t="shared" ref="F22" si="1510">MID($B21,F$1,1)</f>
        <v>0</v>
      </c>
      <c r="G22" s="1" t="str">
        <f t="shared" ref="G22" si="1511">MID($B21,G$1,1)</f>
        <v>0</v>
      </c>
      <c r="H22" s="1" t="str">
        <f t="shared" ref="H22" si="1512">MID($B21,H$1,1)</f>
        <v>0</v>
      </c>
      <c r="I22" s="1" t="str">
        <f t="shared" ref="I22" si="1513">MID($B21,I$1,1)</f>
        <v>0</v>
      </c>
      <c r="J22" s="1" t="str">
        <f t="shared" ref="J22" si="1514">MID($B21,J$1,1)</f>
        <v>0</v>
      </c>
      <c r="K22" s="1" t="str">
        <f t="shared" ref="K22" si="1515">MID($B21,K$1,1)</f>
        <v>0</v>
      </c>
      <c r="L22" s="1" t="str">
        <f t="shared" ref="L22" si="1516">MID($B21,L$1,1)</f>
        <v>1</v>
      </c>
      <c r="M22" s="1" t="str">
        <f t="shared" ref="M22" si="1517">MID($B21,M$1,1)</f>
        <v>1</v>
      </c>
      <c r="N22" s="1" t="str">
        <f t="shared" ref="N22" si="1518">MID($B21,N$1,1)</f>
        <v>0</v>
      </c>
      <c r="O22" s="1" t="str">
        <f t="shared" ref="O22" si="1519">MID($B21,O$1,1)</f>
        <v>1</v>
      </c>
      <c r="P22" s="1" t="str">
        <f t="shared" ref="P22" si="1520">MID($B21,P$1,1)</f>
        <v>0</v>
      </c>
      <c r="Q22" s="1" t="str">
        <f t="shared" ref="Q22" si="1521">MID($B21,Q$1,1)</f>
        <v>1</v>
      </c>
      <c r="R22" s="1" t="str">
        <f t="shared" ref="R22" si="1522">MID($B21,R$1,1)</f>
        <v>0</v>
      </c>
      <c r="S22" s="1" t="str">
        <f t="shared" ref="S22" si="1523">MID($B21,S$1,1)</f>
        <v>0</v>
      </c>
      <c r="T22" s="1" t="str">
        <f t="shared" ref="T22" si="1524">MID($B21,T$1,1)</f>
        <v>0</v>
      </c>
      <c r="U22" s="1" t="str">
        <f t="shared" ref="U22" si="1525">MID($B21,U$1,1)</f>
        <v>1</v>
      </c>
      <c r="V22" s="1" t="str">
        <f t="shared" ref="V22" si="1526">MID($B21,V$1,1)</f>
        <v>1</v>
      </c>
      <c r="W22" s="1" t="str">
        <f t="shared" ref="W22" si="1527">MID($B21,W$1,1)</f>
        <v>1</v>
      </c>
      <c r="X22" s="1" t="str">
        <f t="shared" ref="X22" si="1528">MID($B21,X$1,1)</f>
        <v>0</v>
      </c>
      <c r="Y22" s="1" t="str">
        <f t="shared" ref="Y22" si="1529">MID($B21,Y$1,1)</f>
        <v>1</v>
      </c>
      <c r="Z22" s="1" t="str">
        <f t="shared" ref="Z22" si="1530">MID($B21,Z$1,1)</f>
        <v>0</v>
      </c>
      <c r="AA22" s="1" t="str">
        <f t="shared" ref="AA22" si="1531">MID($B21,AA$1,1)</f>
        <v>0</v>
      </c>
      <c r="AB22" s="1" t="str">
        <f t="shared" ref="AB22" si="1532">MID($B21,AB$1,1)</f>
        <v>0</v>
      </c>
      <c r="AC22" s="1" t="str">
        <f t="shared" ref="AC22" si="1533">MID($B21,AC$1,1)</f>
        <v>0</v>
      </c>
      <c r="AD22" s="1" t="str">
        <f t="shared" ref="AD22" si="1534">MID($B21,AD$1,1)</f>
        <v>1</v>
      </c>
      <c r="AE22" s="1" t="str">
        <f t="shared" ref="AE22" si="1535">MID($B21,AE$1,1)</f>
        <v>0</v>
      </c>
      <c r="AF22" s="1" t="str">
        <f t="shared" ref="AF22" si="1536">MID($B21,AF$1,1)</f>
        <v>1</v>
      </c>
      <c r="AG22" s="1" t="str">
        <f t="shared" ref="AG22" si="1537">MID($B21,AG$1,1)</f>
        <v>1</v>
      </c>
      <c r="AH22" s="1" t="str">
        <f t="shared" ref="AH22" si="1538">MID($B21,AH$1,1)</f>
        <v>1</v>
      </c>
      <c r="AI22" s="1" t="str">
        <f t="shared" ref="AI22" si="1539">MID($B21,AI$1,1)</f>
        <v>0</v>
      </c>
      <c r="AJ22" s="1" t="str">
        <f t="shared" ref="AJ22" si="1540">MID($B21,AJ$1,1)</f>
        <v>0</v>
      </c>
      <c r="AK22" s="1" t="str">
        <f t="shared" ref="AK22" si="1541">MID($B21,AK$1,1)</f>
        <v>0</v>
      </c>
      <c r="AL22" s="1" t="str">
        <f t="shared" ref="AL22" si="1542">MID($B21,AL$1,1)</f>
        <v>1</v>
      </c>
      <c r="AM22" s="1" t="str">
        <f t="shared" ref="AM22" si="1543">MID($B21,AM$1,1)</f>
        <v>0</v>
      </c>
      <c r="AN22" s="1" t="str">
        <f t="shared" ref="AN22" si="1544">MID($B21,AN$1,1)</f>
        <v>0</v>
      </c>
      <c r="AO22" s="1" t="str">
        <f t="shared" ref="AO22" si="1545">MID($B21,AO$1,1)</f>
        <v>0</v>
      </c>
      <c r="AP22" s="1" t="str">
        <f t="shared" ref="AP22" si="1546">MID($B21,AP$1,1)</f>
        <v>0</v>
      </c>
      <c r="AQ22" s="1" t="str">
        <f t="shared" ref="AQ22" si="1547">MID($B21,AQ$1,1)</f>
        <v>0</v>
      </c>
      <c r="AR22" s="1" t="str">
        <f t="shared" ref="AR22" si="1548">MID($B21,AR$1,1)</f>
        <v>0</v>
      </c>
      <c r="AS22" s="1" t="str">
        <f t="shared" ref="AS22" si="1549">MID($B21,AS$1,1)</f>
        <v>1</v>
      </c>
      <c r="AT22" s="1" t="str">
        <f t="shared" ref="AT22" si="1550">MID($B21,AT$1,1)</f>
        <v>1</v>
      </c>
      <c r="AU22" s="1" t="str">
        <f t="shared" ref="AU22" si="1551">MID($B21,AU$1,1)</f>
        <v>1</v>
      </c>
      <c r="AV22" s="1" t="str">
        <f t="shared" ref="AV22" si="1552">MID($B21,AV$1,1)</f>
        <v>1</v>
      </c>
      <c r="AW22" s="1" t="str">
        <f t="shared" ref="AW22" si="1553">MID($B21,AW$1,1)</f>
        <v>0</v>
      </c>
      <c r="AX22" s="1" t="str">
        <f t="shared" ref="AX22" si="1554">MID($B21,AX$1,1)</f>
        <v>1</v>
      </c>
      <c r="AY22" s="1" t="str">
        <f t="shared" ref="AY22" si="1555">MID($B21,AY$1,1)</f>
        <v>0</v>
      </c>
      <c r="AZ22" s="1" t="str">
        <f t="shared" ref="AZ22" si="1556">MID($B21,AZ$1,1)</f>
        <v>0</v>
      </c>
      <c r="BA22" s="1" t="str">
        <f t="shared" ref="BA22" si="1557">MID($B21,BA$1,1)</f>
        <v>0</v>
      </c>
      <c r="BB22" s="1" t="str">
        <f t="shared" ref="BB22" si="1558">MID($B21,BB$1,1)</f>
        <v>1</v>
      </c>
      <c r="BC22" s="1" t="str">
        <f t="shared" ref="BC22" si="1559">MID($B21,BC$1,1)</f>
        <v>1</v>
      </c>
      <c r="BD22" s="1" t="str">
        <f t="shared" ref="BD22" si="1560">MID($B21,BD$1,1)</f>
        <v>0</v>
      </c>
      <c r="BE22" s="1" t="str">
        <f t="shared" ref="BE22" si="1561">MID($B21,BE$1,1)</f>
        <v>0</v>
      </c>
      <c r="BF22" s="1" t="str">
        <f t="shared" ref="BF22" si="1562">MID($B21,BF$1,1)</f>
        <v>0</v>
      </c>
      <c r="BG22" s="1" t="str">
        <f t="shared" ref="BG22" si="1563">MID($B21,BG$1,1)</f>
        <v>0</v>
      </c>
      <c r="BH22" s="1" t="str">
        <f t="shared" ref="BH22" si="1564">MID($B21,BH$1,1)</f>
        <v>0</v>
      </c>
      <c r="BI22" s="1" t="str">
        <f t="shared" ref="BI22" si="1565">MID($B21,BI$1,1)</f>
        <v>0</v>
      </c>
      <c r="BJ22" s="1" t="str">
        <f t="shared" ref="BJ22" si="1566">MID($B21,BJ$1,1)</f>
        <v>0</v>
      </c>
      <c r="BK22" s="1" t="str">
        <f t="shared" ref="BK22" si="1567">MID($B21,BK$1,1)</f>
        <v>1</v>
      </c>
      <c r="BL22" s="1" t="str">
        <f t="shared" ref="BL22" si="1568">MID($B21,BL$1,1)</f>
        <v>0</v>
      </c>
      <c r="BM22" s="1" t="str">
        <f t="shared" ref="BM22" si="1569">MID($B21,BM$1,1)</f>
        <v>0</v>
      </c>
      <c r="BN22" s="1"/>
      <c r="BO22" s="1" t="str">
        <f>MID($BO21,BO$1,1)</f>
        <v>1</v>
      </c>
      <c r="BP22" s="1" t="str">
        <f t="shared" ref="BP22" si="1570">MID($BO21,BP$1,1)</f>
        <v>1</v>
      </c>
      <c r="BQ22" s="1" t="str">
        <f t="shared" ref="BQ22" si="1571">MID($BO21,BQ$1,1)</f>
        <v>0</v>
      </c>
      <c r="BR22" s="1" t="str">
        <f t="shared" ref="BR22" si="1572">MID($BO21,BR$1,1)</f>
        <v>1</v>
      </c>
      <c r="BS22" s="1" t="str">
        <f t="shared" ref="BS22" si="1573">MID($BO21,BS$1,1)</f>
        <v>1</v>
      </c>
      <c r="BT22" s="1" t="str">
        <f t="shared" ref="BT22" si="1574">MID($BO21,BT$1,1)</f>
        <v>0</v>
      </c>
      <c r="BU22" s="1" t="str">
        <f t="shared" ref="BU22" si="1575">MID($BO21,BU$1,1)</f>
        <v>1</v>
      </c>
      <c r="BV22" s="1" t="str">
        <f t="shared" ref="BV22" si="1576">MID($BO21,BV$1,1)</f>
        <v>1</v>
      </c>
      <c r="BW22" s="1" t="str">
        <f t="shared" ref="BW22" si="1577">MID($BO21,BW$1,1)</f>
        <v>1</v>
      </c>
      <c r="BX22" s="1" t="str">
        <f t="shared" ref="BX22" si="1578">MID($BO21,BX$1,1)</f>
        <v>1</v>
      </c>
      <c r="BY22" s="1" t="str">
        <f t="shared" ref="BY22" si="1579">MID($BO21,BY$1,1)</f>
        <v>0</v>
      </c>
      <c r="BZ22" s="1" t="str">
        <f t="shared" ref="BZ22" si="1580">MID($BO21,BZ$1,1)</f>
        <v>1</v>
      </c>
      <c r="CA22" s="1" t="str">
        <f t="shared" ref="CA22" si="1581">MID($BO21,CA$1,1)</f>
        <v>1</v>
      </c>
      <c r="CB22" s="1" t="str">
        <f t="shared" ref="CB22" si="1582">MID($BO21,CB$1,1)</f>
        <v>0</v>
      </c>
      <c r="CC22" s="1" t="str">
        <f t="shared" ref="CC22" si="1583">MID($BO21,CC$1,1)</f>
        <v>0</v>
      </c>
      <c r="CD22" s="1" t="str">
        <f t="shared" ref="CD22" si="1584">MID($BO21,CD$1,1)</f>
        <v>1</v>
      </c>
      <c r="CE22" s="1" t="str">
        <f t="shared" ref="CE22" si="1585">MID($BO21,CE$1,1)</f>
        <v>1</v>
      </c>
      <c r="CF22" s="1" t="str">
        <f t="shared" ref="CF22" si="1586">MID($BO21,CF$1,1)</f>
        <v>1</v>
      </c>
      <c r="CG22" s="1" t="str">
        <f t="shared" ref="CG22" si="1587">MID($BO21,CG$1,1)</f>
        <v>0</v>
      </c>
      <c r="CH22" s="1" t="str">
        <f t="shared" ref="CH22" si="1588">MID($BO21,CH$1,1)</f>
        <v>1</v>
      </c>
      <c r="CI22" s="1" t="str">
        <f t="shared" ref="CI22" si="1589">MID($BO21,CI$1,1)</f>
        <v>0</v>
      </c>
      <c r="CJ22" s="1" t="str">
        <f t="shared" ref="CJ22" si="1590">MID($BO21,CJ$1,1)</f>
        <v>0</v>
      </c>
      <c r="CK22" s="1" t="str">
        <f t="shared" ref="CK22" si="1591">MID($BO21,CK$1,1)</f>
        <v>1</v>
      </c>
      <c r="CL22" s="1" t="str">
        <f t="shared" ref="CL22" si="1592">MID($BO21,CL$1,1)</f>
        <v>1</v>
      </c>
      <c r="CM22" s="1" t="str">
        <f t="shared" ref="CM22" si="1593">MID($BO21,CM$1,1)</f>
        <v>1</v>
      </c>
      <c r="CN22" s="1" t="str">
        <f t="shared" ref="CN22" si="1594">MID($BO21,CN$1,1)</f>
        <v>0</v>
      </c>
      <c r="CO22" s="1" t="str">
        <f t="shared" ref="CO22" si="1595">MID($BO21,CO$1,1)</f>
        <v>1</v>
      </c>
      <c r="CP22" s="1" t="str">
        <f t="shared" ref="CP22" si="1596">MID($BO21,CP$1,1)</f>
        <v>0</v>
      </c>
      <c r="CQ22" s="1" t="str">
        <f t="shared" ref="CQ22" si="1597">MID($BO21,CQ$1,1)</f>
        <v>1</v>
      </c>
      <c r="CR22" s="1" t="str">
        <f t="shared" ref="CR22" si="1598">MID($BO21,CR$1,1)</f>
        <v>0</v>
      </c>
      <c r="CS22" s="1" t="str">
        <f t="shared" ref="CS22" si="1599">MID($BO21,CS$1,1)</f>
        <v>0</v>
      </c>
      <c r="CT22" s="1" t="str">
        <f t="shared" ref="CT22" si="1600">MID($BO21,CT$1,1)</f>
        <v>0</v>
      </c>
      <c r="CU22" s="1" t="str">
        <f t="shared" ref="CU22" si="1601">MID($BO21,CU$1,1)</f>
        <v>0</v>
      </c>
      <c r="CV22" s="1" t="str">
        <f t="shared" ref="CV22" si="1602">MID($BO21,CV$1,1)</f>
        <v>1</v>
      </c>
      <c r="CW22" s="1" t="str">
        <f t="shared" ref="CW22" si="1603">MID($BO21,CW$1,1)</f>
        <v>1</v>
      </c>
      <c r="CX22" s="1" t="str">
        <f t="shared" ref="CX22" si="1604">MID($BO21,CX$1,1)</f>
        <v>0</v>
      </c>
      <c r="CY22" s="1" t="str">
        <f t="shared" ref="CY22" si="1605">MID($BO21,CY$1,1)</f>
        <v>0</v>
      </c>
      <c r="CZ22" s="1" t="str">
        <f t="shared" ref="CZ22" si="1606">MID($BO21,CZ$1,1)</f>
        <v>0</v>
      </c>
      <c r="DA22" s="1" t="str">
        <f t="shared" ref="DA22" si="1607">MID($BO21,DA$1,1)</f>
        <v>1</v>
      </c>
      <c r="DB22" s="1" t="str">
        <f t="shared" ref="DB22" si="1608">MID($BO21,DB$1,1)</f>
        <v>1</v>
      </c>
      <c r="DC22" s="1" t="str">
        <f t="shared" ref="DC22" si="1609">MID($BO21,DC$1,1)</f>
        <v>0</v>
      </c>
      <c r="DD22" s="1" t="str">
        <f t="shared" ref="DD22" si="1610">MID($BO21,DD$1,1)</f>
        <v>1</v>
      </c>
      <c r="DE22" s="1" t="str">
        <f t="shared" ref="DE22" si="1611">MID($BO21,DE$1,1)</f>
        <v>1</v>
      </c>
      <c r="DF22" s="1" t="str">
        <f t="shared" ref="DF22" si="1612">MID($BO21,DF$1,1)</f>
        <v>0</v>
      </c>
      <c r="DG22" s="1" t="str">
        <f t="shared" ref="DG22" si="1613">MID($BO21,DG$1,1)</f>
        <v>0</v>
      </c>
      <c r="DH22" s="1" t="str">
        <f t="shared" ref="DH22" si="1614">MID($BO21,DH$1,1)</f>
        <v>0</v>
      </c>
      <c r="DI22" s="1" t="str">
        <f t="shared" ref="DI22" si="1615">MID($BO21,DI$1,1)</f>
        <v>1</v>
      </c>
      <c r="DJ22" s="1" t="str">
        <f t="shared" ref="DJ22" si="1616">MID($BO21,DJ$1,1)</f>
        <v>1</v>
      </c>
      <c r="DK22" s="1" t="str">
        <f t="shared" ref="DK22" si="1617">MID($BO21,DK$1,1)</f>
        <v>0</v>
      </c>
      <c r="DL22" s="1" t="str">
        <f t="shared" ref="DL22" si="1618">MID($BO21,DL$1,1)</f>
        <v>1</v>
      </c>
      <c r="DM22" s="1" t="str">
        <f t="shared" ref="DM22" si="1619">MID($BO21,DM$1,1)</f>
        <v>0</v>
      </c>
      <c r="DN22" s="1" t="str">
        <f t="shared" ref="DN22" si="1620">MID($BO21,DN$1,1)</f>
        <v>1</v>
      </c>
      <c r="DO22" s="1" t="str">
        <f t="shared" ref="DO22" si="1621">MID($BO21,DO$1,1)</f>
        <v>0</v>
      </c>
      <c r="DP22" s="1" t="str">
        <f t="shared" ref="DP22" si="1622">MID($BO21,DP$1,1)</f>
        <v>0</v>
      </c>
      <c r="DQ22" s="1" t="str">
        <f t="shared" ref="DQ22" si="1623">MID($BO21,DQ$1,1)</f>
        <v>0</v>
      </c>
      <c r="DR22" s="1" t="str">
        <f t="shared" ref="DR22" si="1624">MID($BO21,DR$1,1)</f>
        <v>1</v>
      </c>
      <c r="DS22" s="1" t="str">
        <f t="shared" ref="DS22" si="1625">MID($BO21,DS$1,1)</f>
        <v>1</v>
      </c>
      <c r="DT22" s="1" t="str">
        <f t="shared" ref="DT22" si="1626">MID($BO21,DT$1,1)</f>
        <v>0</v>
      </c>
      <c r="DU22" s="1" t="str">
        <f t="shared" ref="DU22" si="1627">MID($BO21,DU$1,1)</f>
        <v>0</v>
      </c>
      <c r="DV22" s="1" t="str">
        <f t="shared" ref="DV22" si="1628">MID($BO21,DV$1,1)</f>
        <v>0</v>
      </c>
      <c r="DW22" s="1" t="str">
        <f t="shared" ref="DW22" si="1629">MID($BO21,DW$1,1)</f>
        <v>1</v>
      </c>
      <c r="DX22" s="1" t="str">
        <f t="shared" ref="DX22" si="1630">MID($BO21,DX$1,1)</f>
        <v>0</v>
      </c>
      <c r="DY22" s="1" t="str">
        <f t="shared" ref="DY22" si="1631">MID($BO21,DY$1,1)</f>
        <v>1</v>
      </c>
      <c r="DZ22" s="1" t="str">
        <f t="shared" ref="DZ22" si="1632">MID($BO21,DZ$1,1)</f>
        <v>0</v>
      </c>
      <c r="EB22" s="1">
        <f>IF(B22=BO22,0,1)</f>
        <v>1</v>
      </c>
      <c r="EC22" s="1">
        <f>IF(C22=BP22,0,1)</f>
        <v>1</v>
      </c>
      <c r="ED22" s="1">
        <f t="shared" ref="ED22" si="1633">IF(D22=BQ22,0,1)</f>
        <v>1</v>
      </c>
      <c r="EE22" s="1">
        <f t="shared" ref="EE22" si="1634">IF(E22=BR22,0,1)</f>
        <v>1</v>
      </c>
      <c r="EF22" s="1">
        <f t="shared" ref="EF22" si="1635">IF(F22=BS22,0,1)</f>
        <v>1</v>
      </c>
      <c r="EG22" s="1">
        <f t="shared" ref="EG22" si="1636">IF(G22=BT22,0,1)</f>
        <v>0</v>
      </c>
      <c r="EH22" s="1">
        <f t="shared" ref="EH22" si="1637">IF(H22=BU22,0,1)</f>
        <v>1</v>
      </c>
      <c r="EI22" s="1">
        <f t="shared" ref="EI22" si="1638">IF(I22=BV22,0,1)</f>
        <v>1</v>
      </c>
      <c r="EJ22" s="1">
        <f t="shared" ref="EJ22" si="1639">IF(J22=BW22,0,1)</f>
        <v>1</v>
      </c>
      <c r="EK22" s="1">
        <f t="shared" ref="EK22" si="1640">IF(K22=BX22,0,1)</f>
        <v>1</v>
      </c>
      <c r="EL22" s="1">
        <f t="shared" ref="EL22" si="1641">IF(L22=BY22,0,1)</f>
        <v>1</v>
      </c>
      <c r="EM22" s="1">
        <f t="shared" ref="EM22" si="1642">IF(M22=BZ22,0,1)</f>
        <v>0</v>
      </c>
      <c r="EN22" s="1">
        <f t="shared" ref="EN22" si="1643">IF(N22=CA22,0,1)</f>
        <v>1</v>
      </c>
      <c r="EO22" s="1">
        <f t="shared" ref="EO22" si="1644">IF(O22=CB22,0,1)</f>
        <v>1</v>
      </c>
      <c r="EP22" s="1">
        <f t="shared" ref="EP22" si="1645">IF(P22=CC22,0,1)</f>
        <v>0</v>
      </c>
      <c r="EQ22" s="1">
        <f t="shared" ref="EQ22" si="1646">IF(Q22=CD22,0,1)</f>
        <v>0</v>
      </c>
      <c r="ER22" s="1">
        <f t="shared" ref="ER22" si="1647">IF(R22=CE22,0,1)</f>
        <v>1</v>
      </c>
      <c r="ES22" s="1">
        <f t="shared" ref="ES22" si="1648">IF(S22=CF22,0,1)</f>
        <v>1</v>
      </c>
      <c r="ET22" s="1">
        <f t="shared" ref="ET22" si="1649">IF(T22=CG22,0,1)</f>
        <v>0</v>
      </c>
      <c r="EU22" s="1">
        <f t="shared" ref="EU22" si="1650">IF(U22=CH22,0,1)</f>
        <v>0</v>
      </c>
      <c r="EV22" s="1">
        <f t="shared" ref="EV22" si="1651">IF(V22=CI22,0,1)</f>
        <v>1</v>
      </c>
      <c r="EW22" s="1">
        <f t="shared" ref="EW22" si="1652">IF(W22=CJ22,0,1)</f>
        <v>1</v>
      </c>
      <c r="EX22" s="1">
        <f t="shared" ref="EX22" si="1653">IF(X22=CK22,0,1)</f>
        <v>1</v>
      </c>
      <c r="EY22" s="1">
        <f t="shared" ref="EY22" si="1654">IF(Y22=CL22,0,1)</f>
        <v>0</v>
      </c>
      <c r="EZ22" s="1">
        <f t="shared" ref="EZ22" si="1655">IF(Z22=CM22,0,1)</f>
        <v>1</v>
      </c>
      <c r="FA22" s="1">
        <f t="shared" ref="FA22" si="1656">IF(AA22=CN22,0,1)</f>
        <v>0</v>
      </c>
      <c r="FB22" s="1">
        <f t="shared" ref="FB22" si="1657">IF(AB22=CO22,0,1)</f>
        <v>1</v>
      </c>
      <c r="FC22" s="1">
        <f t="shared" ref="FC22" si="1658">IF(AC22=CP22,0,1)</f>
        <v>0</v>
      </c>
      <c r="FD22" s="1">
        <f t="shared" ref="FD22" si="1659">IF(AD22=CQ22,0,1)</f>
        <v>0</v>
      </c>
      <c r="FE22" s="1">
        <f t="shared" ref="FE22" si="1660">IF(AE22=CR22,0,1)</f>
        <v>0</v>
      </c>
      <c r="FF22" s="1">
        <f t="shared" ref="FF22" si="1661">IF(AF22=CS22,0,1)</f>
        <v>1</v>
      </c>
      <c r="FG22" s="1">
        <f t="shared" ref="FG22" si="1662">IF(AG22=CT22,0,1)</f>
        <v>1</v>
      </c>
      <c r="FH22" s="1">
        <f t="shared" ref="FH22" si="1663">IF(AH22=CU22,0,1)</f>
        <v>1</v>
      </c>
      <c r="FI22" s="1">
        <f t="shared" ref="FI22" si="1664">IF(AI22=CV22,0,1)</f>
        <v>1</v>
      </c>
      <c r="FJ22" s="1">
        <f t="shared" ref="FJ22" si="1665">IF(AJ22=CW22,0,1)</f>
        <v>1</v>
      </c>
      <c r="FK22" s="1">
        <f t="shared" ref="FK22" si="1666">IF(AK22=CX22,0,1)</f>
        <v>0</v>
      </c>
      <c r="FL22" s="1">
        <f t="shared" ref="FL22" si="1667">IF(AL22=CY22,0,1)</f>
        <v>1</v>
      </c>
      <c r="FM22" s="1">
        <f t="shared" ref="FM22" si="1668">IF(AM22=CZ22,0,1)</f>
        <v>0</v>
      </c>
      <c r="FN22" s="1">
        <f t="shared" ref="FN22" si="1669">IF(AN22=DA22,0,1)</f>
        <v>1</v>
      </c>
      <c r="FO22" s="1">
        <f t="shared" ref="FO22" si="1670">IF(AO22=DB22,0,1)</f>
        <v>1</v>
      </c>
      <c r="FP22" s="1">
        <f t="shared" ref="FP22" si="1671">IF(AP22=DC22,0,1)</f>
        <v>0</v>
      </c>
      <c r="FQ22" s="1">
        <f t="shared" ref="FQ22" si="1672">IF(AQ22=DD22,0,1)</f>
        <v>1</v>
      </c>
      <c r="FR22" s="1">
        <f t="shared" ref="FR22" si="1673">IF(AR22=DE22,0,1)</f>
        <v>1</v>
      </c>
      <c r="FS22" s="1">
        <f t="shared" ref="FS22" si="1674">IF(AS22=DF22,0,1)</f>
        <v>1</v>
      </c>
      <c r="FT22" s="1">
        <f t="shared" ref="FT22" si="1675">IF(AT22=DG22,0,1)</f>
        <v>1</v>
      </c>
      <c r="FU22" s="1">
        <f t="shared" ref="FU22" si="1676">IF(AU22=DH22,0,1)</f>
        <v>1</v>
      </c>
      <c r="FV22" s="1">
        <f t="shared" ref="FV22" si="1677">IF(AV22=DI22,0,1)</f>
        <v>0</v>
      </c>
      <c r="FW22" s="1">
        <f t="shared" ref="FW22" si="1678">IF(AW22=DJ22,0,1)</f>
        <v>1</v>
      </c>
      <c r="FX22" s="1">
        <f t="shared" ref="FX22" si="1679">IF(AX22=DK22,0,1)</f>
        <v>1</v>
      </c>
      <c r="FY22" s="1">
        <f t="shared" ref="FY22" si="1680">IF(AY22=DL22,0,1)</f>
        <v>1</v>
      </c>
      <c r="FZ22" s="1">
        <f t="shared" ref="FZ22" si="1681">IF(AZ22=DM22,0,1)</f>
        <v>0</v>
      </c>
      <c r="GA22" s="1">
        <f t="shared" ref="GA22" si="1682">IF(BA22=DN22,0,1)</f>
        <v>1</v>
      </c>
      <c r="GB22" s="1">
        <f t="shared" ref="GB22" si="1683">IF(BB22=DO22,0,1)</f>
        <v>1</v>
      </c>
      <c r="GC22" s="1">
        <f t="shared" ref="GC22" si="1684">IF(BC22=DP22,0,1)</f>
        <v>1</v>
      </c>
      <c r="GD22" s="1">
        <f t="shared" ref="GD22" si="1685">IF(BD22=DQ22,0,1)</f>
        <v>0</v>
      </c>
      <c r="GE22" s="1">
        <f t="shared" ref="GE22" si="1686">IF(BE22=DR22,0,1)</f>
        <v>1</v>
      </c>
      <c r="GF22" s="1">
        <f t="shared" ref="GF22" si="1687">IF(BF22=DS22,0,1)</f>
        <v>1</v>
      </c>
      <c r="GG22" s="1">
        <f t="shared" ref="GG22" si="1688">IF(BG22=DT22,0,1)</f>
        <v>0</v>
      </c>
      <c r="GH22" s="1">
        <f t="shared" ref="GH22" si="1689">IF(BH22=DU22,0,1)</f>
        <v>0</v>
      </c>
      <c r="GI22" s="1">
        <f t="shared" ref="GI22" si="1690">IF(BI22=DV22,0,1)</f>
        <v>0</v>
      </c>
      <c r="GJ22" s="1">
        <f t="shared" ref="GJ22" si="1691">IF(BJ22=DW22,0,1)</f>
        <v>1</v>
      </c>
      <c r="GK22" s="1">
        <f t="shared" ref="GK22" si="1692">IF(BK22=DX22,0,1)</f>
        <v>1</v>
      </c>
      <c r="GL22" s="1">
        <f t="shared" ref="GL22" si="1693">IF(BL22=DY22,0,1)</f>
        <v>1</v>
      </c>
      <c r="GM22" s="1">
        <f t="shared" ref="GM22" si="1694">IF(BM22=DZ22,0,1)</f>
        <v>0</v>
      </c>
      <c r="GO22" s="27">
        <f>SUM(EB22:GM22)</f>
        <v>43</v>
      </c>
    </row>
    <row r="23" spans="1:205">
      <c r="A23" s="2">
        <v>10</v>
      </c>
      <c r="B23" t="str">
        <f>VLOOKUP(A23,MESSAGE,2,FALSE)</f>
        <v>1110010101000011100000001001100000100000001101010001110100001011</v>
      </c>
      <c r="BO23" t="str">
        <f>VLOOKUP(A23,MESSAGE, 4,FALSE)</f>
        <v>1001010001001000001100010110111111011011110110011101001110101000</v>
      </c>
    </row>
    <row r="24" spans="1:205">
      <c r="A24" s="2"/>
      <c r="B24" s="1" t="str">
        <f>MID($B23,B$1,1)</f>
        <v>1</v>
      </c>
      <c r="C24" s="1" t="str">
        <f t="shared" ref="C24" si="1695">MID($B23,C$1,1)</f>
        <v>1</v>
      </c>
      <c r="D24" s="1" t="str">
        <f t="shared" ref="D24" si="1696">MID($B23,D$1,1)</f>
        <v>1</v>
      </c>
      <c r="E24" s="1" t="str">
        <f t="shared" ref="E24" si="1697">MID($B23,E$1,1)</f>
        <v>0</v>
      </c>
      <c r="F24" s="1" t="str">
        <f t="shared" ref="F24" si="1698">MID($B23,F$1,1)</f>
        <v>0</v>
      </c>
      <c r="G24" s="1" t="str">
        <f t="shared" ref="G24" si="1699">MID($B23,G$1,1)</f>
        <v>1</v>
      </c>
      <c r="H24" s="1" t="str">
        <f t="shared" ref="H24" si="1700">MID($B23,H$1,1)</f>
        <v>0</v>
      </c>
      <c r="I24" s="1" t="str">
        <f t="shared" ref="I24" si="1701">MID($B23,I$1,1)</f>
        <v>1</v>
      </c>
      <c r="J24" s="1" t="str">
        <f t="shared" ref="J24" si="1702">MID($B23,J$1,1)</f>
        <v>0</v>
      </c>
      <c r="K24" s="1" t="str">
        <f t="shared" ref="K24" si="1703">MID($B23,K$1,1)</f>
        <v>1</v>
      </c>
      <c r="L24" s="1" t="str">
        <f t="shared" ref="L24" si="1704">MID($B23,L$1,1)</f>
        <v>0</v>
      </c>
      <c r="M24" s="1" t="str">
        <f t="shared" ref="M24" si="1705">MID($B23,M$1,1)</f>
        <v>0</v>
      </c>
      <c r="N24" s="1" t="str">
        <f t="shared" ref="N24" si="1706">MID($B23,N$1,1)</f>
        <v>0</v>
      </c>
      <c r="O24" s="1" t="str">
        <f t="shared" ref="O24" si="1707">MID($B23,O$1,1)</f>
        <v>0</v>
      </c>
      <c r="P24" s="1" t="str">
        <f t="shared" ref="P24" si="1708">MID($B23,P$1,1)</f>
        <v>1</v>
      </c>
      <c r="Q24" s="1" t="str">
        <f t="shared" ref="Q24" si="1709">MID($B23,Q$1,1)</f>
        <v>1</v>
      </c>
      <c r="R24" s="1" t="str">
        <f t="shared" ref="R24" si="1710">MID($B23,R$1,1)</f>
        <v>1</v>
      </c>
      <c r="S24" s="1" t="str">
        <f t="shared" ref="S24" si="1711">MID($B23,S$1,1)</f>
        <v>0</v>
      </c>
      <c r="T24" s="1" t="str">
        <f t="shared" ref="T24" si="1712">MID($B23,T$1,1)</f>
        <v>0</v>
      </c>
      <c r="U24" s="1" t="str">
        <f t="shared" ref="U24" si="1713">MID($B23,U$1,1)</f>
        <v>0</v>
      </c>
      <c r="V24" s="1" t="str">
        <f t="shared" ref="V24" si="1714">MID($B23,V$1,1)</f>
        <v>0</v>
      </c>
      <c r="W24" s="1" t="str">
        <f t="shared" ref="W24" si="1715">MID($B23,W$1,1)</f>
        <v>0</v>
      </c>
      <c r="X24" s="1" t="str">
        <f t="shared" ref="X24" si="1716">MID($B23,X$1,1)</f>
        <v>0</v>
      </c>
      <c r="Y24" s="1" t="str">
        <f t="shared" ref="Y24" si="1717">MID($B23,Y$1,1)</f>
        <v>0</v>
      </c>
      <c r="Z24" s="1" t="str">
        <f t="shared" ref="Z24" si="1718">MID($B23,Z$1,1)</f>
        <v>1</v>
      </c>
      <c r="AA24" s="1" t="str">
        <f t="shared" ref="AA24" si="1719">MID($B23,AA$1,1)</f>
        <v>0</v>
      </c>
      <c r="AB24" s="1" t="str">
        <f t="shared" ref="AB24" si="1720">MID($B23,AB$1,1)</f>
        <v>0</v>
      </c>
      <c r="AC24" s="1" t="str">
        <f t="shared" ref="AC24" si="1721">MID($B23,AC$1,1)</f>
        <v>1</v>
      </c>
      <c r="AD24" s="1" t="str">
        <f t="shared" ref="AD24" si="1722">MID($B23,AD$1,1)</f>
        <v>1</v>
      </c>
      <c r="AE24" s="1" t="str">
        <f t="shared" ref="AE24" si="1723">MID($B23,AE$1,1)</f>
        <v>0</v>
      </c>
      <c r="AF24" s="1" t="str">
        <f t="shared" ref="AF24" si="1724">MID($B23,AF$1,1)</f>
        <v>0</v>
      </c>
      <c r="AG24" s="1" t="str">
        <f t="shared" ref="AG24" si="1725">MID($B23,AG$1,1)</f>
        <v>0</v>
      </c>
      <c r="AH24" s="1" t="str">
        <f t="shared" ref="AH24" si="1726">MID($B23,AH$1,1)</f>
        <v>0</v>
      </c>
      <c r="AI24" s="1" t="str">
        <f t="shared" ref="AI24" si="1727">MID($B23,AI$1,1)</f>
        <v>0</v>
      </c>
      <c r="AJ24" s="1" t="str">
        <f t="shared" ref="AJ24" si="1728">MID($B23,AJ$1,1)</f>
        <v>1</v>
      </c>
      <c r="AK24" s="1" t="str">
        <f t="shared" ref="AK24" si="1729">MID($B23,AK$1,1)</f>
        <v>0</v>
      </c>
      <c r="AL24" s="1" t="str">
        <f t="shared" ref="AL24" si="1730">MID($B23,AL$1,1)</f>
        <v>0</v>
      </c>
      <c r="AM24" s="1" t="str">
        <f t="shared" ref="AM24" si="1731">MID($B23,AM$1,1)</f>
        <v>0</v>
      </c>
      <c r="AN24" s="1" t="str">
        <f t="shared" ref="AN24" si="1732">MID($B23,AN$1,1)</f>
        <v>0</v>
      </c>
      <c r="AO24" s="1" t="str">
        <f t="shared" ref="AO24" si="1733">MID($B23,AO$1,1)</f>
        <v>0</v>
      </c>
      <c r="AP24" s="1" t="str">
        <f t="shared" ref="AP24" si="1734">MID($B23,AP$1,1)</f>
        <v>0</v>
      </c>
      <c r="AQ24" s="1" t="str">
        <f t="shared" ref="AQ24" si="1735">MID($B23,AQ$1,1)</f>
        <v>0</v>
      </c>
      <c r="AR24" s="1" t="str">
        <f t="shared" ref="AR24" si="1736">MID($B23,AR$1,1)</f>
        <v>1</v>
      </c>
      <c r="AS24" s="1" t="str">
        <f t="shared" ref="AS24" si="1737">MID($B23,AS$1,1)</f>
        <v>1</v>
      </c>
      <c r="AT24" s="1" t="str">
        <f t="shared" ref="AT24" si="1738">MID($B23,AT$1,1)</f>
        <v>0</v>
      </c>
      <c r="AU24" s="1" t="str">
        <f t="shared" ref="AU24" si="1739">MID($B23,AU$1,1)</f>
        <v>1</v>
      </c>
      <c r="AV24" s="1" t="str">
        <f t="shared" ref="AV24" si="1740">MID($B23,AV$1,1)</f>
        <v>0</v>
      </c>
      <c r="AW24" s="1" t="str">
        <f t="shared" ref="AW24" si="1741">MID($B23,AW$1,1)</f>
        <v>1</v>
      </c>
      <c r="AX24" s="1" t="str">
        <f t="shared" ref="AX24" si="1742">MID($B23,AX$1,1)</f>
        <v>0</v>
      </c>
      <c r="AY24" s="1" t="str">
        <f t="shared" ref="AY24" si="1743">MID($B23,AY$1,1)</f>
        <v>0</v>
      </c>
      <c r="AZ24" s="1" t="str">
        <f t="shared" ref="AZ24" si="1744">MID($B23,AZ$1,1)</f>
        <v>0</v>
      </c>
      <c r="BA24" s="1" t="str">
        <f t="shared" ref="BA24" si="1745">MID($B23,BA$1,1)</f>
        <v>1</v>
      </c>
      <c r="BB24" s="1" t="str">
        <f t="shared" ref="BB24" si="1746">MID($B23,BB$1,1)</f>
        <v>1</v>
      </c>
      <c r="BC24" s="1" t="str">
        <f t="shared" ref="BC24" si="1747">MID($B23,BC$1,1)</f>
        <v>1</v>
      </c>
      <c r="BD24" s="1" t="str">
        <f t="shared" ref="BD24" si="1748">MID($B23,BD$1,1)</f>
        <v>0</v>
      </c>
      <c r="BE24" s="1" t="str">
        <f t="shared" ref="BE24" si="1749">MID($B23,BE$1,1)</f>
        <v>1</v>
      </c>
      <c r="BF24" s="1" t="str">
        <f t="shared" ref="BF24" si="1750">MID($B23,BF$1,1)</f>
        <v>0</v>
      </c>
      <c r="BG24" s="1" t="str">
        <f t="shared" ref="BG24" si="1751">MID($B23,BG$1,1)</f>
        <v>0</v>
      </c>
      <c r="BH24" s="1" t="str">
        <f t="shared" ref="BH24" si="1752">MID($B23,BH$1,1)</f>
        <v>0</v>
      </c>
      <c r="BI24" s="1" t="str">
        <f t="shared" ref="BI24" si="1753">MID($B23,BI$1,1)</f>
        <v>0</v>
      </c>
      <c r="BJ24" s="1" t="str">
        <f t="shared" ref="BJ24" si="1754">MID($B23,BJ$1,1)</f>
        <v>1</v>
      </c>
      <c r="BK24" s="1" t="str">
        <f t="shared" ref="BK24" si="1755">MID($B23,BK$1,1)</f>
        <v>0</v>
      </c>
      <c r="BL24" s="1" t="str">
        <f t="shared" ref="BL24" si="1756">MID($B23,BL$1,1)</f>
        <v>1</v>
      </c>
      <c r="BM24" s="1" t="str">
        <f t="shared" ref="BM24" si="1757">MID($B23,BM$1,1)</f>
        <v>1</v>
      </c>
      <c r="BN24" s="1"/>
      <c r="BO24" s="1" t="str">
        <f>MID($BO23,BO$1,1)</f>
        <v>1</v>
      </c>
      <c r="BP24" s="1" t="str">
        <f t="shared" ref="BP24" si="1758">MID($BO23,BP$1,1)</f>
        <v>0</v>
      </c>
      <c r="BQ24" s="1" t="str">
        <f t="shared" ref="BQ24" si="1759">MID($BO23,BQ$1,1)</f>
        <v>0</v>
      </c>
      <c r="BR24" s="1" t="str">
        <f t="shared" ref="BR24" si="1760">MID($BO23,BR$1,1)</f>
        <v>1</v>
      </c>
      <c r="BS24" s="1" t="str">
        <f t="shared" ref="BS24" si="1761">MID($BO23,BS$1,1)</f>
        <v>0</v>
      </c>
      <c r="BT24" s="1" t="str">
        <f t="shared" ref="BT24" si="1762">MID($BO23,BT$1,1)</f>
        <v>1</v>
      </c>
      <c r="BU24" s="1" t="str">
        <f t="shared" ref="BU24" si="1763">MID($BO23,BU$1,1)</f>
        <v>0</v>
      </c>
      <c r="BV24" s="1" t="str">
        <f t="shared" ref="BV24" si="1764">MID($BO23,BV$1,1)</f>
        <v>0</v>
      </c>
      <c r="BW24" s="1" t="str">
        <f t="shared" ref="BW24" si="1765">MID($BO23,BW$1,1)</f>
        <v>0</v>
      </c>
      <c r="BX24" s="1" t="str">
        <f t="shared" ref="BX24" si="1766">MID($BO23,BX$1,1)</f>
        <v>1</v>
      </c>
      <c r="BY24" s="1" t="str">
        <f t="shared" ref="BY24" si="1767">MID($BO23,BY$1,1)</f>
        <v>0</v>
      </c>
      <c r="BZ24" s="1" t="str">
        <f t="shared" ref="BZ24" si="1768">MID($BO23,BZ$1,1)</f>
        <v>0</v>
      </c>
      <c r="CA24" s="1" t="str">
        <f t="shared" ref="CA24" si="1769">MID($BO23,CA$1,1)</f>
        <v>1</v>
      </c>
      <c r="CB24" s="1" t="str">
        <f t="shared" ref="CB24" si="1770">MID($BO23,CB$1,1)</f>
        <v>0</v>
      </c>
      <c r="CC24" s="1" t="str">
        <f t="shared" ref="CC24" si="1771">MID($BO23,CC$1,1)</f>
        <v>0</v>
      </c>
      <c r="CD24" s="1" t="str">
        <f t="shared" ref="CD24" si="1772">MID($BO23,CD$1,1)</f>
        <v>0</v>
      </c>
      <c r="CE24" s="1" t="str">
        <f t="shared" ref="CE24" si="1773">MID($BO23,CE$1,1)</f>
        <v>0</v>
      </c>
      <c r="CF24" s="1" t="str">
        <f t="shared" ref="CF24" si="1774">MID($BO23,CF$1,1)</f>
        <v>0</v>
      </c>
      <c r="CG24" s="1" t="str">
        <f t="shared" ref="CG24" si="1775">MID($BO23,CG$1,1)</f>
        <v>1</v>
      </c>
      <c r="CH24" s="1" t="str">
        <f t="shared" ref="CH24" si="1776">MID($BO23,CH$1,1)</f>
        <v>1</v>
      </c>
      <c r="CI24" s="1" t="str">
        <f t="shared" ref="CI24" si="1777">MID($BO23,CI$1,1)</f>
        <v>0</v>
      </c>
      <c r="CJ24" s="1" t="str">
        <f t="shared" ref="CJ24" si="1778">MID($BO23,CJ$1,1)</f>
        <v>0</v>
      </c>
      <c r="CK24" s="1" t="str">
        <f t="shared" ref="CK24" si="1779">MID($BO23,CK$1,1)</f>
        <v>0</v>
      </c>
      <c r="CL24" s="1" t="str">
        <f t="shared" ref="CL24" si="1780">MID($BO23,CL$1,1)</f>
        <v>1</v>
      </c>
      <c r="CM24" s="1" t="str">
        <f t="shared" ref="CM24" si="1781">MID($BO23,CM$1,1)</f>
        <v>0</v>
      </c>
      <c r="CN24" s="1" t="str">
        <f t="shared" ref="CN24" si="1782">MID($BO23,CN$1,1)</f>
        <v>1</v>
      </c>
      <c r="CO24" s="1" t="str">
        <f t="shared" ref="CO24" si="1783">MID($BO23,CO$1,1)</f>
        <v>1</v>
      </c>
      <c r="CP24" s="1" t="str">
        <f t="shared" ref="CP24" si="1784">MID($BO23,CP$1,1)</f>
        <v>0</v>
      </c>
      <c r="CQ24" s="1" t="str">
        <f t="shared" ref="CQ24" si="1785">MID($BO23,CQ$1,1)</f>
        <v>1</v>
      </c>
      <c r="CR24" s="1" t="str">
        <f t="shared" ref="CR24" si="1786">MID($BO23,CR$1,1)</f>
        <v>1</v>
      </c>
      <c r="CS24" s="1" t="str">
        <f t="shared" ref="CS24" si="1787">MID($BO23,CS$1,1)</f>
        <v>1</v>
      </c>
      <c r="CT24" s="1" t="str">
        <f t="shared" ref="CT24" si="1788">MID($BO23,CT$1,1)</f>
        <v>1</v>
      </c>
      <c r="CU24" s="1" t="str">
        <f t="shared" ref="CU24" si="1789">MID($BO23,CU$1,1)</f>
        <v>1</v>
      </c>
      <c r="CV24" s="1" t="str">
        <f t="shared" ref="CV24" si="1790">MID($BO23,CV$1,1)</f>
        <v>1</v>
      </c>
      <c r="CW24" s="1" t="str">
        <f t="shared" ref="CW24" si="1791">MID($BO23,CW$1,1)</f>
        <v>0</v>
      </c>
      <c r="CX24" s="1" t="str">
        <f t="shared" ref="CX24" si="1792">MID($BO23,CX$1,1)</f>
        <v>1</v>
      </c>
      <c r="CY24" s="1" t="str">
        <f t="shared" ref="CY24" si="1793">MID($BO23,CY$1,1)</f>
        <v>1</v>
      </c>
      <c r="CZ24" s="1" t="str">
        <f t="shared" ref="CZ24" si="1794">MID($BO23,CZ$1,1)</f>
        <v>0</v>
      </c>
      <c r="DA24" s="1" t="str">
        <f t="shared" ref="DA24" si="1795">MID($BO23,DA$1,1)</f>
        <v>1</v>
      </c>
      <c r="DB24" s="1" t="str">
        <f t="shared" ref="DB24" si="1796">MID($BO23,DB$1,1)</f>
        <v>1</v>
      </c>
      <c r="DC24" s="1" t="str">
        <f t="shared" ref="DC24" si="1797">MID($BO23,DC$1,1)</f>
        <v>1</v>
      </c>
      <c r="DD24" s="1" t="str">
        <f t="shared" ref="DD24" si="1798">MID($BO23,DD$1,1)</f>
        <v>1</v>
      </c>
      <c r="DE24" s="1" t="str">
        <f t="shared" ref="DE24" si="1799">MID($BO23,DE$1,1)</f>
        <v>0</v>
      </c>
      <c r="DF24" s="1" t="str">
        <f t="shared" ref="DF24" si="1800">MID($BO23,DF$1,1)</f>
        <v>1</v>
      </c>
      <c r="DG24" s="1" t="str">
        <f t="shared" ref="DG24" si="1801">MID($BO23,DG$1,1)</f>
        <v>1</v>
      </c>
      <c r="DH24" s="1" t="str">
        <f t="shared" ref="DH24" si="1802">MID($BO23,DH$1,1)</f>
        <v>0</v>
      </c>
      <c r="DI24" s="1" t="str">
        <f t="shared" ref="DI24" si="1803">MID($BO23,DI$1,1)</f>
        <v>0</v>
      </c>
      <c r="DJ24" s="1" t="str">
        <f t="shared" ref="DJ24" si="1804">MID($BO23,DJ$1,1)</f>
        <v>1</v>
      </c>
      <c r="DK24" s="1" t="str">
        <f t="shared" ref="DK24" si="1805">MID($BO23,DK$1,1)</f>
        <v>1</v>
      </c>
      <c r="DL24" s="1" t="str">
        <f t="shared" ref="DL24" si="1806">MID($BO23,DL$1,1)</f>
        <v>1</v>
      </c>
      <c r="DM24" s="1" t="str">
        <f t="shared" ref="DM24" si="1807">MID($BO23,DM$1,1)</f>
        <v>0</v>
      </c>
      <c r="DN24" s="1" t="str">
        <f t="shared" ref="DN24" si="1808">MID($BO23,DN$1,1)</f>
        <v>1</v>
      </c>
      <c r="DO24" s="1" t="str">
        <f t="shared" ref="DO24" si="1809">MID($BO23,DO$1,1)</f>
        <v>0</v>
      </c>
      <c r="DP24" s="1" t="str">
        <f t="shared" ref="DP24" si="1810">MID($BO23,DP$1,1)</f>
        <v>0</v>
      </c>
      <c r="DQ24" s="1" t="str">
        <f t="shared" ref="DQ24" si="1811">MID($BO23,DQ$1,1)</f>
        <v>1</v>
      </c>
      <c r="DR24" s="1" t="str">
        <f t="shared" ref="DR24" si="1812">MID($BO23,DR$1,1)</f>
        <v>1</v>
      </c>
      <c r="DS24" s="1" t="str">
        <f t="shared" ref="DS24" si="1813">MID($BO23,DS$1,1)</f>
        <v>1</v>
      </c>
      <c r="DT24" s="1" t="str">
        <f t="shared" ref="DT24" si="1814">MID($BO23,DT$1,1)</f>
        <v>0</v>
      </c>
      <c r="DU24" s="1" t="str">
        <f t="shared" ref="DU24" si="1815">MID($BO23,DU$1,1)</f>
        <v>1</v>
      </c>
      <c r="DV24" s="1" t="str">
        <f t="shared" ref="DV24" si="1816">MID($BO23,DV$1,1)</f>
        <v>0</v>
      </c>
      <c r="DW24" s="1" t="str">
        <f t="shared" ref="DW24" si="1817">MID($BO23,DW$1,1)</f>
        <v>1</v>
      </c>
      <c r="DX24" s="1" t="str">
        <f t="shared" ref="DX24" si="1818">MID($BO23,DX$1,1)</f>
        <v>0</v>
      </c>
      <c r="DY24" s="1" t="str">
        <f t="shared" ref="DY24" si="1819">MID($BO23,DY$1,1)</f>
        <v>0</v>
      </c>
      <c r="DZ24" s="1" t="str">
        <f t="shared" ref="DZ24" si="1820">MID($BO23,DZ$1,1)</f>
        <v>0</v>
      </c>
      <c r="EB24" s="1">
        <f>IF(B24=BO24,0,1)</f>
        <v>0</v>
      </c>
      <c r="EC24" s="1">
        <f>IF(C24=BP24,0,1)</f>
        <v>1</v>
      </c>
      <c r="ED24" s="1">
        <f t="shared" ref="ED24" si="1821">IF(D24=BQ24,0,1)</f>
        <v>1</v>
      </c>
      <c r="EE24" s="1">
        <f t="shared" ref="EE24" si="1822">IF(E24=BR24,0,1)</f>
        <v>1</v>
      </c>
      <c r="EF24" s="1">
        <f t="shared" ref="EF24" si="1823">IF(F24=BS24,0,1)</f>
        <v>0</v>
      </c>
      <c r="EG24" s="1">
        <f t="shared" ref="EG24" si="1824">IF(G24=BT24,0,1)</f>
        <v>0</v>
      </c>
      <c r="EH24" s="1">
        <f t="shared" ref="EH24" si="1825">IF(H24=BU24,0,1)</f>
        <v>0</v>
      </c>
      <c r="EI24" s="1">
        <f t="shared" ref="EI24" si="1826">IF(I24=BV24,0,1)</f>
        <v>1</v>
      </c>
      <c r="EJ24" s="1">
        <f t="shared" ref="EJ24" si="1827">IF(J24=BW24,0,1)</f>
        <v>0</v>
      </c>
      <c r="EK24" s="1">
        <f t="shared" ref="EK24" si="1828">IF(K24=BX24,0,1)</f>
        <v>0</v>
      </c>
      <c r="EL24" s="1">
        <f t="shared" ref="EL24" si="1829">IF(L24=BY24,0,1)</f>
        <v>0</v>
      </c>
      <c r="EM24" s="1">
        <f t="shared" ref="EM24" si="1830">IF(M24=BZ24,0,1)</f>
        <v>0</v>
      </c>
      <c r="EN24" s="1">
        <f t="shared" ref="EN24" si="1831">IF(N24=CA24,0,1)</f>
        <v>1</v>
      </c>
      <c r="EO24" s="1">
        <f t="shared" ref="EO24" si="1832">IF(O24=CB24,0,1)</f>
        <v>0</v>
      </c>
      <c r="EP24" s="1">
        <f t="shared" ref="EP24" si="1833">IF(P24=CC24,0,1)</f>
        <v>1</v>
      </c>
      <c r="EQ24" s="1">
        <f t="shared" ref="EQ24" si="1834">IF(Q24=CD24,0,1)</f>
        <v>1</v>
      </c>
      <c r="ER24" s="1">
        <f t="shared" ref="ER24" si="1835">IF(R24=CE24,0,1)</f>
        <v>1</v>
      </c>
      <c r="ES24" s="1">
        <f t="shared" ref="ES24" si="1836">IF(S24=CF24,0,1)</f>
        <v>0</v>
      </c>
      <c r="ET24" s="1">
        <f t="shared" ref="ET24" si="1837">IF(T24=CG24,0,1)</f>
        <v>1</v>
      </c>
      <c r="EU24" s="1">
        <f t="shared" ref="EU24" si="1838">IF(U24=CH24,0,1)</f>
        <v>1</v>
      </c>
      <c r="EV24" s="1">
        <f t="shared" ref="EV24" si="1839">IF(V24=CI24,0,1)</f>
        <v>0</v>
      </c>
      <c r="EW24" s="1">
        <f t="shared" ref="EW24" si="1840">IF(W24=CJ24,0,1)</f>
        <v>0</v>
      </c>
      <c r="EX24" s="1">
        <f t="shared" ref="EX24" si="1841">IF(X24=CK24,0,1)</f>
        <v>0</v>
      </c>
      <c r="EY24" s="1">
        <f t="shared" ref="EY24" si="1842">IF(Y24=CL24,0,1)</f>
        <v>1</v>
      </c>
      <c r="EZ24" s="1">
        <f t="shared" ref="EZ24" si="1843">IF(Z24=CM24,0,1)</f>
        <v>1</v>
      </c>
      <c r="FA24" s="1">
        <f t="shared" ref="FA24" si="1844">IF(AA24=CN24,0,1)</f>
        <v>1</v>
      </c>
      <c r="FB24" s="1">
        <f t="shared" ref="FB24" si="1845">IF(AB24=CO24,0,1)</f>
        <v>1</v>
      </c>
      <c r="FC24" s="1">
        <f t="shared" ref="FC24" si="1846">IF(AC24=CP24,0,1)</f>
        <v>1</v>
      </c>
      <c r="FD24" s="1">
        <f t="shared" ref="FD24" si="1847">IF(AD24=CQ24,0,1)</f>
        <v>0</v>
      </c>
      <c r="FE24" s="1">
        <f t="shared" ref="FE24" si="1848">IF(AE24=CR24,0,1)</f>
        <v>1</v>
      </c>
      <c r="FF24" s="1">
        <f t="shared" ref="FF24" si="1849">IF(AF24=CS24,0,1)</f>
        <v>1</v>
      </c>
      <c r="FG24" s="1">
        <f t="shared" ref="FG24" si="1850">IF(AG24=CT24,0,1)</f>
        <v>1</v>
      </c>
      <c r="FH24" s="1">
        <f t="shared" ref="FH24" si="1851">IF(AH24=CU24,0,1)</f>
        <v>1</v>
      </c>
      <c r="FI24" s="1">
        <f t="shared" ref="FI24" si="1852">IF(AI24=CV24,0,1)</f>
        <v>1</v>
      </c>
      <c r="FJ24" s="1">
        <f t="shared" ref="FJ24" si="1853">IF(AJ24=CW24,0,1)</f>
        <v>1</v>
      </c>
      <c r="FK24" s="1">
        <f t="shared" ref="FK24" si="1854">IF(AK24=CX24,0,1)</f>
        <v>1</v>
      </c>
      <c r="FL24" s="1">
        <f t="shared" ref="FL24" si="1855">IF(AL24=CY24,0,1)</f>
        <v>1</v>
      </c>
      <c r="FM24" s="1">
        <f t="shared" ref="FM24" si="1856">IF(AM24=CZ24,0,1)</f>
        <v>0</v>
      </c>
      <c r="FN24" s="1">
        <f t="shared" ref="FN24" si="1857">IF(AN24=DA24,0,1)</f>
        <v>1</v>
      </c>
      <c r="FO24" s="1">
        <f t="shared" ref="FO24" si="1858">IF(AO24=DB24,0,1)</f>
        <v>1</v>
      </c>
      <c r="FP24" s="1">
        <f t="shared" ref="FP24" si="1859">IF(AP24=DC24,0,1)</f>
        <v>1</v>
      </c>
      <c r="FQ24" s="1">
        <f t="shared" ref="FQ24" si="1860">IF(AQ24=DD24,0,1)</f>
        <v>1</v>
      </c>
      <c r="FR24" s="1">
        <f t="shared" ref="FR24" si="1861">IF(AR24=DE24,0,1)</f>
        <v>1</v>
      </c>
      <c r="FS24" s="1">
        <f t="shared" ref="FS24" si="1862">IF(AS24=DF24,0,1)</f>
        <v>0</v>
      </c>
      <c r="FT24" s="1">
        <f t="shared" ref="FT24" si="1863">IF(AT24=DG24,0,1)</f>
        <v>1</v>
      </c>
      <c r="FU24" s="1">
        <f t="shared" ref="FU24" si="1864">IF(AU24=DH24,0,1)</f>
        <v>1</v>
      </c>
      <c r="FV24" s="1">
        <f t="shared" ref="FV24" si="1865">IF(AV24=DI24,0,1)</f>
        <v>0</v>
      </c>
      <c r="FW24" s="1">
        <f t="shared" ref="FW24" si="1866">IF(AW24=DJ24,0,1)</f>
        <v>0</v>
      </c>
      <c r="FX24" s="1">
        <f t="shared" ref="FX24" si="1867">IF(AX24=DK24,0,1)</f>
        <v>1</v>
      </c>
      <c r="FY24" s="1">
        <f t="shared" ref="FY24" si="1868">IF(AY24=DL24,0,1)</f>
        <v>1</v>
      </c>
      <c r="FZ24" s="1">
        <f t="shared" ref="FZ24" si="1869">IF(AZ24=DM24,0,1)</f>
        <v>0</v>
      </c>
      <c r="GA24" s="1">
        <f t="shared" ref="GA24" si="1870">IF(BA24=DN24,0,1)</f>
        <v>0</v>
      </c>
      <c r="GB24" s="1">
        <f t="shared" ref="GB24" si="1871">IF(BB24=DO24,0,1)</f>
        <v>1</v>
      </c>
      <c r="GC24" s="1">
        <f t="shared" ref="GC24" si="1872">IF(BC24=DP24,0,1)</f>
        <v>1</v>
      </c>
      <c r="GD24" s="1">
        <f t="shared" ref="GD24" si="1873">IF(BD24=DQ24,0,1)</f>
        <v>1</v>
      </c>
      <c r="GE24" s="1">
        <f t="shared" ref="GE24" si="1874">IF(BE24=DR24,0,1)</f>
        <v>0</v>
      </c>
      <c r="GF24" s="1">
        <f t="shared" ref="GF24" si="1875">IF(BF24=DS24,0,1)</f>
        <v>1</v>
      </c>
      <c r="GG24" s="1">
        <f t="shared" ref="GG24" si="1876">IF(BG24=DT24,0,1)</f>
        <v>0</v>
      </c>
      <c r="GH24" s="1">
        <f t="shared" ref="GH24" si="1877">IF(BH24=DU24,0,1)</f>
        <v>1</v>
      </c>
      <c r="GI24" s="1">
        <f t="shared" ref="GI24" si="1878">IF(BI24=DV24,0,1)</f>
        <v>0</v>
      </c>
      <c r="GJ24" s="1">
        <f t="shared" ref="GJ24" si="1879">IF(BJ24=DW24,0,1)</f>
        <v>0</v>
      </c>
      <c r="GK24" s="1">
        <f t="shared" ref="GK24" si="1880">IF(BK24=DX24,0,1)</f>
        <v>0</v>
      </c>
      <c r="GL24" s="1">
        <f t="shared" ref="GL24" si="1881">IF(BL24=DY24,0,1)</f>
        <v>1</v>
      </c>
      <c r="GM24" s="1">
        <f t="shared" ref="GM24" si="1882">IF(BM24=DZ24,0,1)</f>
        <v>1</v>
      </c>
      <c r="GO24" s="27">
        <f>SUM(EB24:GM24)</f>
        <v>39</v>
      </c>
    </row>
    <row r="25" spans="1:205">
      <c r="A25" s="2">
        <v>11</v>
      </c>
      <c r="B25" t="str">
        <f>VLOOKUP(A25,MESSAGE,2,FALSE)</f>
        <v>1010100111001010110001001101111111100101010000111000000010011000</v>
      </c>
      <c r="BO25" t="str">
        <f>VLOOKUP(A25,MESSAGE, 4,FALSE)</f>
        <v>1110010110100110111011100011010110010100010010000011000101101111</v>
      </c>
    </row>
    <row r="26" spans="1:205">
      <c r="A26" s="2"/>
      <c r="B26" s="1" t="str">
        <f>MID($B25,B$1,1)</f>
        <v>1</v>
      </c>
      <c r="C26" s="1" t="str">
        <f t="shared" ref="C26" si="1883">MID($B25,C$1,1)</f>
        <v>0</v>
      </c>
      <c r="D26" s="1" t="str">
        <f t="shared" ref="D26" si="1884">MID($B25,D$1,1)</f>
        <v>1</v>
      </c>
      <c r="E26" s="1" t="str">
        <f t="shared" ref="E26" si="1885">MID($B25,E$1,1)</f>
        <v>0</v>
      </c>
      <c r="F26" s="1" t="str">
        <f t="shared" ref="F26" si="1886">MID($B25,F$1,1)</f>
        <v>1</v>
      </c>
      <c r="G26" s="1" t="str">
        <f t="shared" ref="G26" si="1887">MID($B25,G$1,1)</f>
        <v>0</v>
      </c>
      <c r="H26" s="1" t="str">
        <f t="shared" ref="H26" si="1888">MID($B25,H$1,1)</f>
        <v>0</v>
      </c>
      <c r="I26" s="1" t="str">
        <f t="shared" ref="I26" si="1889">MID($B25,I$1,1)</f>
        <v>1</v>
      </c>
      <c r="J26" s="1" t="str">
        <f t="shared" ref="J26" si="1890">MID($B25,J$1,1)</f>
        <v>1</v>
      </c>
      <c r="K26" s="1" t="str">
        <f t="shared" ref="K26" si="1891">MID($B25,K$1,1)</f>
        <v>1</v>
      </c>
      <c r="L26" s="1" t="str">
        <f t="shared" ref="L26" si="1892">MID($B25,L$1,1)</f>
        <v>0</v>
      </c>
      <c r="M26" s="1" t="str">
        <f t="shared" ref="M26" si="1893">MID($B25,M$1,1)</f>
        <v>0</v>
      </c>
      <c r="N26" s="1" t="str">
        <f t="shared" ref="N26" si="1894">MID($B25,N$1,1)</f>
        <v>1</v>
      </c>
      <c r="O26" s="1" t="str">
        <f t="shared" ref="O26" si="1895">MID($B25,O$1,1)</f>
        <v>0</v>
      </c>
      <c r="P26" s="1" t="str">
        <f t="shared" ref="P26" si="1896">MID($B25,P$1,1)</f>
        <v>1</v>
      </c>
      <c r="Q26" s="1" t="str">
        <f t="shared" ref="Q26" si="1897">MID($B25,Q$1,1)</f>
        <v>0</v>
      </c>
      <c r="R26" s="1" t="str">
        <f t="shared" ref="R26" si="1898">MID($B25,R$1,1)</f>
        <v>1</v>
      </c>
      <c r="S26" s="1" t="str">
        <f t="shared" ref="S26" si="1899">MID($B25,S$1,1)</f>
        <v>1</v>
      </c>
      <c r="T26" s="1" t="str">
        <f t="shared" ref="T26" si="1900">MID($B25,T$1,1)</f>
        <v>0</v>
      </c>
      <c r="U26" s="1" t="str">
        <f t="shared" ref="U26" si="1901">MID($B25,U$1,1)</f>
        <v>0</v>
      </c>
      <c r="V26" s="1" t="str">
        <f t="shared" ref="V26" si="1902">MID($B25,V$1,1)</f>
        <v>0</v>
      </c>
      <c r="W26" s="1" t="str">
        <f t="shared" ref="W26" si="1903">MID($B25,W$1,1)</f>
        <v>1</v>
      </c>
      <c r="X26" s="1" t="str">
        <f t="shared" ref="X26" si="1904">MID($B25,X$1,1)</f>
        <v>0</v>
      </c>
      <c r="Y26" s="1" t="str">
        <f t="shared" ref="Y26" si="1905">MID($B25,Y$1,1)</f>
        <v>0</v>
      </c>
      <c r="Z26" s="1" t="str">
        <f t="shared" ref="Z26" si="1906">MID($B25,Z$1,1)</f>
        <v>1</v>
      </c>
      <c r="AA26" s="1" t="str">
        <f t="shared" ref="AA26" si="1907">MID($B25,AA$1,1)</f>
        <v>1</v>
      </c>
      <c r="AB26" s="1" t="str">
        <f t="shared" ref="AB26" si="1908">MID($B25,AB$1,1)</f>
        <v>0</v>
      </c>
      <c r="AC26" s="1" t="str">
        <f t="shared" ref="AC26" si="1909">MID($B25,AC$1,1)</f>
        <v>1</v>
      </c>
      <c r="AD26" s="1" t="str">
        <f t="shared" ref="AD26" si="1910">MID($B25,AD$1,1)</f>
        <v>1</v>
      </c>
      <c r="AE26" s="1" t="str">
        <f t="shared" ref="AE26" si="1911">MID($B25,AE$1,1)</f>
        <v>1</v>
      </c>
      <c r="AF26" s="1" t="str">
        <f t="shared" ref="AF26" si="1912">MID($B25,AF$1,1)</f>
        <v>1</v>
      </c>
      <c r="AG26" s="1" t="str">
        <f t="shared" ref="AG26" si="1913">MID($B25,AG$1,1)</f>
        <v>1</v>
      </c>
      <c r="AH26" s="1" t="str">
        <f t="shared" ref="AH26" si="1914">MID($B25,AH$1,1)</f>
        <v>1</v>
      </c>
      <c r="AI26" s="1" t="str">
        <f t="shared" ref="AI26" si="1915">MID($B25,AI$1,1)</f>
        <v>1</v>
      </c>
      <c r="AJ26" s="1" t="str">
        <f t="shared" ref="AJ26" si="1916">MID($B25,AJ$1,1)</f>
        <v>1</v>
      </c>
      <c r="AK26" s="1" t="str">
        <f t="shared" ref="AK26" si="1917">MID($B25,AK$1,1)</f>
        <v>0</v>
      </c>
      <c r="AL26" s="1" t="str">
        <f t="shared" ref="AL26" si="1918">MID($B25,AL$1,1)</f>
        <v>0</v>
      </c>
      <c r="AM26" s="1" t="str">
        <f t="shared" ref="AM26" si="1919">MID($B25,AM$1,1)</f>
        <v>1</v>
      </c>
      <c r="AN26" s="1" t="str">
        <f t="shared" ref="AN26" si="1920">MID($B25,AN$1,1)</f>
        <v>0</v>
      </c>
      <c r="AO26" s="1" t="str">
        <f t="shared" ref="AO26" si="1921">MID($B25,AO$1,1)</f>
        <v>1</v>
      </c>
      <c r="AP26" s="1" t="str">
        <f t="shared" ref="AP26" si="1922">MID($B25,AP$1,1)</f>
        <v>0</v>
      </c>
      <c r="AQ26" s="1" t="str">
        <f t="shared" ref="AQ26" si="1923">MID($B25,AQ$1,1)</f>
        <v>1</v>
      </c>
      <c r="AR26" s="1" t="str">
        <f t="shared" ref="AR26" si="1924">MID($B25,AR$1,1)</f>
        <v>0</v>
      </c>
      <c r="AS26" s="1" t="str">
        <f t="shared" ref="AS26" si="1925">MID($B25,AS$1,1)</f>
        <v>0</v>
      </c>
      <c r="AT26" s="1" t="str">
        <f t="shared" ref="AT26" si="1926">MID($B25,AT$1,1)</f>
        <v>0</v>
      </c>
      <c r="AU26" s="1" t="str">
        <f t="shared" ref="AU26" si="1927">MID($B25,AU$1,1)</f>
        <v>0</v>
      </c>
      <c r="AV26" s="1" t="str">
        <f t="shared" ref="AV26" si="1928">MID($B25,AV$1,1)</f>
        <v>1</v>
      </c>
      <c r="AW26" s="1" t="str">
        <f t="shared" ref="AW26" si="1929">MID($B25,AW$1,1)</f>
        <v>1</v>
      </c>
      <c r="AX26" s="1" t="str">
        <f t="shared" ref="AX26" si="1930">MID($B25,AX$1,1)</f>
        <v>1</v>
      </c>
      <c r="AY26" s="1" t="str">
        <f t="shared" ref="AY26" si="1931">MID($B25,AY$1,1)</f>
        <v>0</v>
      </c>
      <c r="AZ26" s="1" t="str">
        <f t="shared" ref="AZ26" si="1932">MID($B25,AZ$1,1)</f>
        <v>0</v>
      </c>
      <c r="BA26" s="1" t="str">
        <f t="shared" ref="BA26" si="1933">MID($B25,BA$1,1)</f>
        <v>0</v>
      </c>
      <c r="BB26" s="1" t="str">
        <f t="shared" ref="BB26" si="1934">MID($B25,BB$1,1)</f>
        <v>0</v>
      </c>
      <c r="BC26" s="1" t="str">
        <f t="shared" ref="BC26" si="1935">MID($B25,BC$1,1)</f>
        <v>0</v>
      </c>
      <c r="BD26" s="1" t="str">
        <f t="shared" ref="BD26" si="1936">MID($B25,BD$1,1)</f>
        <v>0</v>
      </c>
      <c r="BE26" s="1" t="str">
        <f t="shared" ref="BE26" si="1937">MID($B25,BE$1,1)</f>
        <v>0</v>
      </c>
      <c r="BF26" s="1" t="str">
        <f t="shared" ref="BF26" si="1938">MID($B25,BF$1,1)</f>
        <v>1</v>
      </c>
      <c r="BG26" s="1" t="str">
        <f t="shared" ref="BG26" si="1939">MID($B25,BG$1,1)</f>
        <v>0</v>
      </c>
      <c r="BH26" s="1" t="str">
        <f t="shared" ref="BH26" si="1940">MID($B25,BH$1,1)</f>
        <v>0</v>
      </c>
      <c r="BI26" s="1" t="str">
        <f t="shared" ref="BI26" si="1941">MID($B25,BI$1,1)</f>
        <v>1</v>
      </c>
      <c r="BJ26" s="1" t="str">
        <f t="shared" ref="BJ26" si="1942">MID($B25,BJ$1,1)</f>
        <v>1</v>
      </c>
      <c r="BK26" s="1" t="str">
        <f t="shared" ref="BK26" si="1943">MID($B25,BK$1,1)</f>
        <v>0</v>
      </c>
      <c r="BL26" s="1" t="str">
        <f t="shared" ref="BL26" si="1944">MID($B25,BL$1,1)</f>
        <v>0</v>
      </c>
      <c r="BM26" s="1" t="str">
        <f t="shared" ref="BM26" si="1945">MID($B25,BM$1,1)</f>
        <v>0</v>
      </c>
      <c r="BN26" s="1"/>
      <c r="BO26" s="1" t="str">
        <f>MID($BO25,BO$1,1)</f>
        <v>1</v>
      </c>
      <c r="BP26" s="1" t="str">
        <f t="shared" ref="BP26" si="1946">MID($BO25,BP$1,1)</f>
        <v>1</v>
      </c>
      <c r="BQ26" s="1" t="str">
        <f t="shared" ref="BQ26" si="1947">MID($BO25,BQ$1,1)</f>
        <v>1</v>
      </c>
      <c r="BR26" s="1" t="str">
        <f t="shared" ref="BR26" si="1948">MID($BO25,BR$1,1)</f>
        <v>0</v>
      </c>
      <c r="BS26" s="1" t="str">
        <f t="shared" ref="BS26" si="1949">MID($BO25,BS$1,1)</f>
        <v>0</v>
      </c>
      <c r="BT26" s="1" t="str">
        <f t="shared" ref="BT26" si="1950">MID($BO25,BT$1,1)</f>
        <v>1</v>
      </c>
      <c r="BU26" s="1" t="str">
        <f t="shared" ref="BU26" si="1951">MID($BO25,BU$1,1)</f>
        <v>0</v>
      </c>
      <c r="BV26" s="1" t="str">
        <f t="shared" ref="BV26" si="1952">MID($BO25,BV$1,1)</f>
        <v>1</v>
      </c>
      <c r="BW26" s="1" t="str">
        <f t="shared" ref="BW26" si="1953">MID($BO25,BW$1,1)</f>
        <v>1</v>
      </c>
      <c r="BX26" s="1" t="str">
        <f t="shared" ref="BX26" si="1954">MID($BO25,BX$1,1)</f>
        <v>0</v>
      </c>
      <c r="BY26" s="1" t="str">
        <f t="shared" ref="BY26" si="1955">MID($BO25,BY$1,1)</f>
        <v>1</v>
      </c>
      <c r="BZ26" s="1" t="str">
        <f t="shared" ref="BZ26" si="1956">MID($BO25,BZ$1,1)</f>
        <v>0</v>
      </c>
      <c r="CA26" s="1" t="str">
        <f t="shared" ref="CA26" si="1957">MID($BO25,CA$1,1)</f>
        <v>0</v>
      </c>
      <c r="CB26" s="1" t="str">
        <f t="shared" ref="CB26" si="1958">MID($BO25,CB$1,1)</f>
        <v>1</v>
      </c>
      <c r="CC26" s="1" t="str">
        <f t="shared" ref="CC26" si="1959">MID($BO25,CC$1,1)</f>
        <v>1</v>
      </c>
      <c r="CD26" s="1" t="str">
        <f t="shared" ref="CD26" si="1960">MID($BO25,CD$1,1)</f>
        <v>0</v>
      </c>
      <c r="CE26" s="1" t="str">
        <f t="shared" ref="CE26" si="1961">MID($BO25,CE$1,1)</f>
        <v>1</v>
      </c>
      <c r="CF26" s="1" t="str">
        <f t="shared" ref="CF26" si="1962">MID($BO25,CF$1,1)</f>
        <v>1</v>
      </c>
      <c r="CG26" s="1" t="str">
        <f t="shared" ref="CG26" si="1963">MID($BO25,CG$1,1)</f>
        <v>1</v>
      </c>
      <c r="CH26" s="1" t="str">
        <f t="shared" ref="CH26" si="1964">MID($BO25,CH$1,1)</f>
        <v>0</v>
      </c>
      <c r="CI26" s="1" t="str">
        <f t="shared" ref="CI26" si="1965">MID($BO25,CI$1,1)</f>
        <v>1</v>
      </c>
      <c r="CJ26" s="1" t="str">
        <f t="shared" ref="CJ26" si="1966">MID($BO25,CJ$1,1)</f>
        <v>1</v>
      </c>
      <c r="CK26" s="1" t="str">
        <f t="shared" ref="CK26" si="1967">MID($BO25,CK$1,1)</f>
        <v>1</v>
      </c>
      <c r="CL26" s="1" t="str">
        <f t="shared" ref="CL26" si="1968">MID($BO25,CL$1,1)</f>
        <v>0</v>
      </c>
      <c r="CM26" s="1" t="str">
        <f t="shared" ref="CM26" si="1969">MID($BO25,CM$1,1)</f>
        <v>0</v>
      </c>
      <c r="CN26" s="1" t="str">
        <f t="shared" ref="CN26" si="1970">MID($BO25,CN$1,1)</f>
        <v>0</v>
      </c>
      <c r="CO26" s="1" t="str">
        <f t="shared" ref="CO26" si="1971">MID($BO25,CO$1,1)</f>
        <v>1</v>
      </c>
      <c r="CP26" s="1" t="str">
        <f t="shared" ref="CP26" si="1972">MID($BO25,CP$1,1)</f>
        <v>1</v>
      </c>
      <c r="CQ26" s="1" t="str">
        <f t="shared" ref="CQ26" si="1973">MID($BO25,CQ$1,1)</f>
        <v>0</v>
      </c>
      <c r="CR26" s="1" t="str">
        <f t="shared" ref="CR26" si="1974">MID($BO25,CR$1,1)</f>
        <v>1</v>
      </c>
      <c r="CS26" s="1" t="str">
        <f t="shared" ref="CS26" si="1975">MID($BO25,CS$1,1)</f>
        <v>0</v>
      </c>
      <c r="CT26" s="1" t="str">
        <f t="shared" ref="CT26" si="1976">MID($BO25,CT$1,1)</f>
        <v>1</v>
      </c>
      <c r="CU26" s="1" t="str">
        <f t="shared" ref="CU26" si="1977">MID($BO25,CU$1,1)</f>
        <v>1</v>
      </c>
      <c r="CV26" s="1" t="str">
        <f t="shared" ref="CV26" si="1978">MID($BO25,CV$1,1)</f>
        <v>0</v>
      </c>
      <c r="CW26" s="1" t="str">
        <f t="shared" ref="CW26" si="1979">MID($BO25,CW$1,1)</f>
        <v>0</v>
      </c>
      <c r="CX26" s="1" t="str">
        <f t="shared" ref="CX26" si="1980">MID($BO25,CX$1,1)</f>
        <v>1</v>
      </c>
      <c r="CY26" s="1" t="str">
        <f t="shared" ref="CY26" si="1981">MID($BO25,CY$1,1)</f>
        <v>0</v>
      </c>
      <c r="CZ26" s="1" t="str">
        <f t="shared" ref="CZ26" si="1982">MID($BO25,CZ$1,1)</f>
        <v>1</v>
      </c>
      <c r="DA26" s="1" t="str">
        <f t="shared" ref="DA26" si="1983">MID($BO25,DA$1,1)</f>
        <v>0</v>
      </c>
      <c r="DB26" s="1" t="str">
        <f t="shared" ref="DB26" si="1984">MID($BO25,DB$1,1)</f>
        <v>0</v>
      </c>
      <c r="DC26" s="1" t="str">
        <f t="shared" ref="DC26" si="1985">MID($BO25,DC$1,1)</f>
        <v>0</v>
      </c>
      <c r="DD26" s="1" t="str">
        <f t="shared" ref="DD26" si="1986">MID($BO25,DD$1,1)</f>
        <v>1</v>
      </c>
      <c r="DE26" s="1" t="str">
        <f t="shared" ref="DE26" si="1987">MID($BO25,DE$1,1)</f>
        <v>0</v>
      </c>
      <c r="DF26" s="1" t="str">
        <f t="shared" ref="DF26" si="1988">MID($BO25,DF$1,1)</f>
        <v>0</v>
      </c>
      <c r="DG26" s="1" t="str">
        <f t="shared" ref="DG26" si="1989">MID($BO25,DG$1,1)</f>
        <v>1</v>
      </c>
      <c r="DH26" s="1" t="str">
        <f t="shared" ref="DH26" si="1990">MID($BO25,DH$1,1)</f>
        <v>0</v>
      </c>
      <c r="DI26" s="1" t="str">
        <f t="shared" ref="DI26" si="1991">MID($BO25,DI$1,1)</f>
        <v>0</v>
      </c>
      <c r="DJ26" s="1" t="str">
        <f t="shared" ref="DJ26" si="1992">MID($BO25,DJ$1,1)</f>
        <v>0</v>
      </c>
      <c r="DK26" s="1" t="str">
        <f t="shared" ref="DK26" si="1993">MID($BO25,DK$1,1)</f>
        <v>0</v>
      </c>
      <c r="DL26" s="1" t="str">
        <f t="shared" ref="DL26" si="1994">MID($BO25,DL$1,1)</f>
        <v>0</v>
      </c>
      <c r="DM26" s="1" t="str">
        <f t="shared" ref="DM26" si="1995">MID($BO25,DM$1,1)</f>
        <v>1</v>
      </c>
      <c r="DN26" s="1" t="str">
        <f t="shared" ref="DN26" si="1996">MID($BO25,DN$1,1)</f>
        <v>1</v>
      </c>
      <c r="DO26" s="1" t="str">
        <f t="shared" ref="DO26" si="1997">MID($BO25,DO$1,1)</f>
        <v>0</v>
      </c>
      <c r="DP26" s="1" t="str">
        <f t="shared" ref="DP26" si="1998">MID($BO25,DP$1,1)</f>
        <v>0</v>
      </c>
      <c r="DQ26" s="1" t="str">
        <f t="shared" ref="DQ26" si="1999">MID($BO25,DQ$1,1)</f>
        <v>0</v>
      </c>
      <c r="DR26" s="1" t="str">
        <f t="shared" ref="DR26" si="2000">MID($BO25,DR$1,1)</f>
        <v>1</v>
      </c>
      <c r="DS26" s="1" t="str">
        <f t="shared" ref="DS26" si="2001">MID($BO25,DS$1,1)</f>
        <v>0</v>
      </c>
      <c r="DT26" s="1" t="str">
        <f t="shared" ref="DT26" si="2002">MID($BO25,DT$1,1)</f>
        <v>1</v>
      </c>
      <c r="DU26" s="1" t="str">
        <f t="shared" ref="DU26" si="2003">MID($BO25,DU$1,1)</f>
        <v>1</v>
      </c>
      <c r="DV26" s="1" t="str">
        <f t="shared" ref="DV26" si="2004">MID($BO25,DV$1,1)</f>
        <v>0</v>
      </c>
      <c r="DW26" s="1" t="str">
        <f t="shared" ref="DW26" si="2005">MID($BO25,DW$1,1)</f>
        <v>1</v>
      </c>
      <c r="DX26" s="1" t="str">
        <f t="shared" ref="DX26" si="2006">MID($BO25,DX$1,1)</f>
        <v>1</v>
      </c>
      <c r="DY26" s="1" t="str">
        <f t="shared" ref="DY26" si="2007">MID($BO25,DY$1,1)</f>
        <v>1</v>
      </c>
      <c r="DZ26" s="1" t="str">
        <f t="shared" ref="DZ26" si="2008">MID($BO25,DZ$1,1)</f>
        <v>1</v>
      </c>
      <c r="EB26" s="1">
        <f>IF(B26=BO26,0,1)</f>
        <v>0</v>
      </c>
      <c r="EC26" s="1">
        <f>IF(C26=BP26,0,1)</f>
        <v>1</v>
      </c>
      <c r="ED26" s="1">
        <f t="shared" ref="ED26" si="2009">IF(D26=BQ26,0,1)</f>
        <v>0</v>
      </c>
      <c r="EE26" s="1">
        <f t="shared" ref="EE26" si="2010">IF(E26=BR26,0,1)</f>
        <v>0</v>
      </c>
      <c r="EF26" s="1">
        <f t="shared" ref="EF26" si="2011">IF(F26=BS26,0,1)</f>
        <v>1</v>
      </c>
      <c r="EG26" s="1">
        <f t="shared" ref="EG26" si="2012">IF(G26=BT26,0,1)</f>
        <v>1</v>
      </c>
      <c r="EH26" s="1">
        <f t="shared" ref="EH26" si="2013">IF(H26=BU26,0,1)</f>
        <v>0</v>
      </c>
      <c r="EI26" s="1">
        <f t="shared" ref="EI26" si="2014">IF(I26=BV26,0,1)</f>
        <v>0</v>
      </c>
      <c r="EJ26" s="1">
        <f t="shared" ref="EJ26" si="2015">IF(J26=BW26,0,1)</f>
        <v>0</v>
      </c>
      <c r="EK26" s="1">
        <f t="shared" ref="EK26" si="2016">IF(K26=BX26,0,1)</f>
        <v>1</v>
      </c>
      <c r="EL26" s="1">
        <f t="shared" ref="EL26" si="2017">IF(L26=BY26,0,1)</f>
        <v>1</v>
      </c>
      <c r="EM26" s="1">
        <f t="shared" ref="EM26" si="2018">IF(M26=BZ26,0,1)</f>
        <v>0</v>
      </c>
      <c r="EN26" s="1">
        <f t="shared" ref="EN26" si="2019">IF(N26=CA26,0,1)</f>
        <v>1</v>
      </c>
      <c r="EO26" s="1">
        <f t="shared" ref="EO26" si="2020">IF(O26=CB26,0,1)</f>
        <v>1</v>
      </c>
      <c r="EP26" s="1">
        <f t="shared" ref="EP26" si="2021">IF(P26=CC26,0,1)</f>
        <v>0</v>
      </c>
      <c r="EQ26" s="1">
        <f t="shared" ref="EQ26" si="2022">IF(Q26=CD26,0,1)</f>
        <v>0</v>
      </c>
      <c r="ER26" s="1">
        <f t="shared" ref="ER26" si="2023">IF(R26=CE26,0,1)</f>
        <v>0</v>
      </c>
      <c r="ES26" s="1">
        <f t="shared" ref="ES26" si="2024">IF(S26=CF26,0,1)</f>
        <v>0</v>
      </c>
      <c r="ET26" s="1">
        <f t="shared" ref="ET26" si="2025">IF(T26=CG26,0,1)</f>
        <v>1</v>
      </c>
      <c r="EU26" s="1">
        <f t="shared" ref="EU26" si="2026">IF(U26=CH26,0,1)</f>
        <v>0</v>
      </c>
      <c r="EV26" s="1">
        <f t="shared" ref="EV26" si="2027">IF(V26=CI26,0,1)</f>
        <v>1</v>
      </c>
      <c r="EW26" s="1">
        <f t="shared" ref="EW26" si="2028">IF(W26=CJ26,0,1)</f>
        <v>0</v>
      </c>
      <c r="EX26" s="1">
        <f t="shared" ref="EX26" si="2029">IF(X26=CK26,0,1)</f>
        <v>1</v>
      </c>
      <c r="EY26" s="1">
        <f t="shared" ref="EY26" si="2030">IF(Y26=CL26,0,1)</f>
        <v>0</v>
      </c>
      <c r="EZ26" s="1">
        <f t="shared" ref="EZ26" si="2031">IF(Z26=CM26,0,1)</f>
        <v>1</v>
      </c>
      <c r="FA26" s="1">
        <f t="shared" ref="FA26" si="2032">IF(AA26=CN26,0,1)</f>
        <v>1</v>
      </c>
      <c r="FB26" s="1">
        <f t="shared" ref="FB26" si="2033">IF(AB26=CO26,0,1)</f>
        <v>1</v>
      </c>
      <c r="FC26" s="1">
        <f t="shared" ref="FC26" si="2034">IF(AC26=CP26,0,1)</f>
        <v>0</v>
      </c>
      <c r="FD26" s="1">
        <f t="shared" ref="FD26" si="2035">IF(AD26=CQ26,0,1)</f>
        <v>1</v>
      </c>
      <c r="FE26" s="1">
        <f t="shared" ref="FE26" si="2036">IF(AE26=CR26,0,1)</f>
        <v>0</v>
      </c>
      <c r="FF26" s="1">
        <f t="shared" ref="FF26" si="2037">IF(AF26=CS26,0,1)</f>
        <v>1</v>
      </c>
      <c r="FG26" s="1">
        <f t="shared" ref="FG26" si="2038">IF(AG26=CT26,0,1)</f>
        <v>0</v>
      </c>
      <c r="FH26" s="1">
        <f t="shared" ref="FH26" si="2039">IF(AH26=CU26,0,1)</f>
        <v>0</v>
      </c>
      <c r="FI26" s="1">
        <f t="shared" ref="FI26" si="2040">IF(AI26=CV26,0,1)</f>
        <v>1</v>
      </c>
      <c r="FJ26" s="1">
        <f t="shared" ref="FJ26" si="2041">IF(AJ26=CW26,0,1)</f>
        <v>1</v>
      </c>
      <c r="FK26" s="1">
        <f t="shared" ref="FK26" si="2042">IF(AK26=CX26,0,1)</f>
        <v>1</v>
      </c>
      <c r="FL26" s="1">
        <f t="shared" ref="FL26" si="2043">IF(AL26=CY26,0,1)</f>
        <v>0</v>
      </c>
      <c r="FM26" s="1">
        <f t="shared" ref="FM26" si="2044">IF(AM26=CZ26,0,1)</f>
        <v>0</v>
      </c>
      <c r="FN26" s="1">
        <f t="shared" ref="FN26" si="2045">IF(AN26=DA26,0,1)</f>
        <v>0</v>
      </c>
      <c r="FO26" s="1">
        <f t="shared" ref="FO26" si="2046">IF(AO26=DB26,0,1)</f>
        <v>1</v>
      </c>
      <c r="FP26" s="1">
        <f t="shared" ref="FP26" si="2047">IF(AP26=DC26,0,1)</f>
        <v>0</v>
      </c>
      <c r="FQ26" s="1">
        <f t="shared" ref="FQ26" si="2048">IF(AQ26=DD26,0,1)</f>
        <v>0</v>
      </c>
      <c r="FR26" s="1">
        <f t="shared" ref="FR26" si="2049">IF(AR26=DE26,0,1)</f>
        <v>0</v>
      </c>
      <c r="FS26" s="1">
        <f t="shared" ref="FS26" si="2050">IF(AS26=DF26,0,1)</f>
        <v>0</v>
      </c>
      <c r="FT26" s="1">
        <f t="shared" ref="FT26" si="2051">IF(AT26=DG26,0,1)</f>
        <v>1</v>
      </c>
      <c r="FU26" s="1">
        <f t="shared" ref="FU26" si="2052">IF(AU26=DH26,0,1)</f>
        <v>0</v>
      </c>
      <c r="FV26" s="1">
        <f t="shared" ref="FV26" si="2053">IF(AV26=DI26,0,1)</f>
        <v>1</v>
      </c>
      <c r="FW26" s="1">
        <f t="shared" ref="FW26" si="2054">IF(AW26=DJ26,0,1)</f>
        <v>1</v>
      </c>
      <c r="FX26" s="1">
        <f t="shared" ref="FX26" si="2055">IF(AX26=DK26,0,1)</f>
        <v>1</v>
      </c>
      <c r="FY26" s="1">
        <f t="shared" ref="FY26" si="2056">IF(AY26=DL26,0,1)</f>
        <v>0</v>
      </c>
      <c r="FZ26" s="1">
        <f t="shared" ref="FZ26" si="2057">IF(AZ26=DM26,0,1)</f>
        <v>1</v>
      </c>
      <c r="GA26" s="1">
        <f t="shared" ref="GA26" si="2058">IF(BA26=DN26,0,1)</f>
        <v>1</v>
      </c>
      <c r="GB26" s="1">
        <f t="shared" ref="GB26" si="2059">IF(BB26=DO26,0,1)</f>
        <v>0</v>
      </c>
      <c r="GC26" s="1">
        <f t="shared" ref="GC26" si="2060">IF(BC26=DP26,0,1)</f>
        <v>0</v>
      </c>
      <c r="GD26" s="1">
        <f t="shared" ref="GD26" si="2061">IF(BD26=DQ26,0,1)</f>
        <v>0</v>
      </c>
      <c r="GE26" s="1">
        <f t="shared" ref="GE26" si="2062">IF(BE26=DR26,0,1)</f>
        <v>1</v>
      </c>
      <c r="GF26" s="1">
        <f t="shared" ref="GF26" si="2063">IF(BF26=DS26,0,1)</f>
        <v>1</v>
      </c>
      <c r="GG26" s="1">
        <f t="shared" ref="GG26" si="2064">IF(BG26=DT26,0,1)</f>
        <v>1</v>
      </c>
      <c r="GH26" s="1">
        <f t="shared" ref="GH26" si="2065">IF(BH26=DU26,0,1)</f>
        <v>1</v>
      </c>
      <c r="GI26" s="1">
        <f t="shared" ref="GI26" si="2066">IF(BI26=DV26,0,1)</f>
        <v>1</v>
      </c>
      <c r="GJ26" s="1">
        <f t="shared" ref="GJ26" si="2067">IF(BJ26=DW26,0,1)</f>
        <v>0</v>
      </c>
      <c r="GK26" s="1">
        <f t="shared" ref="GK26" si="2068">IF(BK26=DX26,0,1)</f>
        <v>1</v>
      </c>
      <c r="GL26" s="1">
        <f t="shared" ref="GL26" si="2069">IF(BL26=DY26,0,1)</f>
        <v>1</v>
      </c>
      <c r="GM26" s="1">
        <f t="shared" ref="GM26" si="2070">IF(BM26=DZ26,0,1)</f>
        <v>1</v>
      </c>
      <c r="GO26" s="27">
        <f>SUM(EB26:GM26)</f>
        <v>33</v>
      </c>
    </row>
    <row r="27" spans="1:205">
      <c r="A27" s="2">
        <v>12</v>
      </c>
      <c r="B27" t="str">
        <f>VLOOKUP(A27,MESSAGE,2,FALSE)</f>
        <v>1100110111111000000011111011000110101001110010101100010011011111</v>
      </c>
      <c r="BO27" t="str">
        <f>VLOOKUP(A27,MESSAGE, 4,FALSE)</f>
        <v>1011101101001010010001011101010011100101101001101110111000110101</v>
      </c>
    </row>
    <row r="28" spans="1:205">
      <c r="A28" s="2"/>
      <c r="B28" s="1" t="str">
        <f>MID($B27,B$1,1)</f>
        <v>1</v>
      </c>
      <c r="C28" s="1" t="str">
        <f t="shared" ref="C28" si="2071">MID($B27,C$1,1)</f>
        <v>1</v>
      </c>
      <c r="D28" s="1" t="str">
        <f t="shared" ref="D28" si="2072">MID($B27,D$1,1)</f>
        <v>0</v>
      </c>
      <c r="E28" s="1" t="str">
        <f t="shared" ref="E28" si="2073">MID($B27,E$1,1)</f>
        <v>0</v>
      </c>
      <c r="F28" s="1" t="str">
        <f t="shared" ref="F28" si="2074">MID($B27,F$1,1)</f>
        <v>1</v>
      </c>
      <c r="G28" s="1" t="str">
        <f t="shared" ref="G28" si="2075">MID($B27,G$1,1)</f>
        <v>1</v>
      </c>
      <c r="H28" s="1" t="str">
        <f t="shared" ref="H28" si="2076">MID($B27,H$1,1)</f>
        <v>0</v>
      </c>
      <c r="I28" s="1" t="str">
        <f t="shared" ref="I28" si="2077">MID($B27,I$1,1)</f>
        <v>1</v>
      </c>
      <c r="J28" s="1" t="str">
        <f t="shared" ref="J28" si="2078">MID($B27,J$1,1)</f>
        <v>1</v>
      </c>
      <c r="K28" s="1" t="str">
        <f t="shared" ref="K28" si="2079">MID($B27,K$1,1)</f>
        <v>1</v>
      </c>
      <c r="L28" s="1" t="str">
        <f t="shared" ref="L28" si="2080">MID($B27,L$1,1)</f>
        <v>1</v>
      </c>
      <c r="M28" s="1" t="str">
        <f t="shared" ref="M28" si="2081">MID($B27,M$1,1)</f>
        <v>1</v>
      </c>
      <c r="N28" s="1" t="str">
        <f t="shared" ref="N28" si="2082">MID($B27,N$1,1)</f>
        <v>1</v>
      </c>
      <c r="O28" s="1" t="str">
        <f t="shared" ref="O28" si="2083">MID($B27,O$1,1)</f>
        <v>0</v>
      </c>
      <c r="P28" s="1" t="str">
        <f t="shared" ref="P28" si="2084">MID($B27,P$1,1)</f>
        <v>0</v>
      </c>
      <c r="Q28" s="1" t="str">
        <f t="shared" ref="Q28" si="2085">MID($B27,Q$1,1)</f>
        <v>0</v>
      </c>
      <c r="R28" s="1" t="str">
        <f t="shared" ref="R28" si="2086">MID($B27,R$1,1)</f>
        <v>0</v>
      </c>
      <c r="S28" s="1" t="str">
        <f t="shared" ref="S28" si="2087">MID($B27,S$1,1)</f>
        <v>0</v>
      </c>
      <c r="T28" s="1" t="str">
        <f t="shared" ref="T28" si="2088">MID($B27,T$1,1)</f>
        <v>0</v>
      </c>
      <c r="U28" s="1" t="str">
        <f t="shared" ref="U28" si="2089">MID($B27,U$1,1)</f>
        <v>0</v>
      </c>
      <c r="V28" s="1" t="str">
        <f t="shared" ref="V28" si="2090">MID($B27,V$1,1)</f>
        <v>1</v>
      </c>
      <c r="W28" s="1" t="str">
        <f t="shared" ref="W28" si="2091">MID($B27,W$1,1)</f>
        <v>1</v>
      </c>
      <c r="X28" s="1" t="str">
        <f t="shared" ref="X28" si="2092">MID($B27,X$1,1)</f>
        <v>1</v>
      </c>
      <c r="Y28" s="1" t="str">
        <f t="shared" ref="Y28" si="2093">MID($B27,Y$1,1)</f>
        <v>1</v>
      </c>
      <c r="Z28" s="1" t="str">
        <f t="shared" ref="Z28" si="2094">MID($B27,Z$1,1)</f>
        <v>1</v>
      </c>
      <c r="AA28" s="1" t="str">
        <f t="shared" ref="AA28" si="2095">MID($B27,AA$1,1)</f>
        <v>0</v>
      </c>
      <c r="AB28" s="1" t="str">
        <f t="shared" ref="AB28" si="2096">MID($B27,AB$1,1)</f>
        <v>1</v>
      </c>
      <c r="AC28" s="1" t="str">
        <f t="shared" ref="AC28" si="2097">MID($B27,AC$1,1)</f>
        <v>1</v>
      </c>
      <c r="AD28" s="1" t="str">
        <f t="shared" ref="AD28" si="2098">MID($B27,AD$1,1)</f>
        <v>0</v>
      </c>
      <c r="AE28" s="1" t="str">
        <f t="shared" ref="AE28" si="2099">MID($B27,AE$1,1)</f>
        <v>0</v>
      </c>
      <c r="AF28" s="1" t="str">
        <f t="shared" ref="AF28" si="2100">MID($B27,AF$1,1)</f>
        <v>0</v>
      </c>
      <c r="AG28" s="1" t="str">
        <f t="shared" ref="AG28" si="2101">MID($B27,AG$1,1)</f>
        <v>1</v>
      </c>
      <c r="AH28" s="1" t="str">
        <f t="shared" ref="AH28" si="2102">MID($B27,AH$1,1)</f>
        <v>1</v>
      </c>
      <c r="AI28" s="1" t="str">
        <f t="shared" ref="AI28" si="2103">MID($B27,AI$1,1)</f>
        <v>0</v>
      </c>
      <c r="AJ28" s="1" t="str">
        <f t="shared" ref="AJ28" si="2104">MID($B27,AJ$1,1)</f>
        <v>1</v>
      </c>
      <c r="AK28" s="1" t="str">
        <f t="shared" ref="AK28" si="2105">MID($B27,AK$1,1)</f>
        <v>0</v>
      </c>
      <c r="AL28" s="1" t="str">
        <f t="shared" ref="AL28" si="2106">MID($B27,AL$1,1)</f>
        <v>1</v>
      </c>
      <c r="AM28" s="1" t="str">
        <f t="shared" ref="AM28" si="2107">MID($B27,AM$1,1)</f>
        <v>0</v>
      </c>
      <c r="AN28" s="1" t="str">
        <f t="shared" ref="AN28" si="2108">MID($B27,AN$1,1)</f>
        <v>0</v>
      </c>
      <c r="AO28" s="1" t="str">
        <f t="shared" ref="AO28" si="2109">MID($B27,AO$1,1)</f>
        <v>1</v>
      </c>
      <c r="AP28" s="1" t="str">
        <f t="shared" ref="AP28" si="2110">MID($B27,AP$1,1)</f>
        <v>1</v>
      </c>
      <c r="AQ28" s="1" t="str">
        <f t="shared" ref="AQ28" si="2111">MID($B27,AQ$1,1)</f>
        <v>1</v>
      </c>
      <c r="AR28" s="1" t="str">
        <f t="shared" ref="AR28" si="2112">MID($B27,AR$1,1)</f>
        <v>0</v>
      </c>
      <c r="AS28" s="1" t="str">
        <f t="shared" ref="AS28" si="2113">MID($B27,AS$1,1)</f>
        <v>0</v>
      </c>
      <c r="AT28" s="1" t="str">
        <f t="shared" ref="AT28" si="2114">MID($B27,AT$1,1)</f>
        <v>1</v>
      </c>
      <c r="AU28" s="1" t="str">
        <f t="shared" ref="AU28" si="2115">MID($B27,AU$1,1)</f>
        <v>0</v>
      </c>
      <c r="AV28" s="1" t="str">
        <f t="shared" ref="AV28" si="2116">MID($B27,AV$1,1)</f>
        <v>1</v>
      </c>
      <c r="AW28" s="1" t="str">
        <f t="shared" ref="AW28" si="2117">MID($B27,AW$1,1)</f>
        <v>0</v>
      </c>
      <c r="AX28" s="1" t="str">
        <f t="shared" ref="AX28" si="2118">MID($B27,AX$1,1)</f>
        <v>1</v>
      </c>
      <c r="AY28" s="1" t="str">
        <f t="shared" ref="AY28" si="2119">MID($B27,AY$1,1)</f>
        <v>1</v>
      </c>
      <c r="AZ28" s="1" t="str">
        <f t="shared" ref="AZ28" si="2120">MID($B27,AZ$1,1)</f>
        <v>0</v>
      </c>
      <c r="BA28" s="1" t="str">
        <f t="shared" ref="BA28" si="2121">MID($B27,BA$1,1)</f>
        <v>0</v>
      </c>
      <c r="BB28" s="1" t="str">
        <f t="shared" ref="BB28" si="2122">MID($B27,BB$1,1)</f>
        <v>0</v>
      </c>
      <c r="BC28" s="1" t="str">
        <f t="shared" ref="BC28" si="2123">MID($B27,BC$1,1)</f>
        <v>1</v>
      </c>
      <c r="BD28" s="1" t="str">
        <f t="shared" ref="BD28" si="2124">MID($B27,BD$1,1)</f>
        <v>0</v>
      </c>
      <c r="BE28" s="1" t="str">
        <f t="shared" ref="BE28" si="2125">MID($B27,BE$1,1)</f>
        <v>0</v>
      </c>
      <c r="BF28" s="1" t="str">
        <f t="shared" ref="BF28" si="2126">MID($B27,BF$1,1)</f>
        <v>1</v>
      </c>
      <c r="BG28" s="1" t="str">
        <f t="shared" ref="BG28" si="2127">MID($B27,BG$1,1)</f>
        <v>1</v>
      </c>
      <c r="BH28" s="1" t="str">
        <f t="shared" ref="BH28" si="2128">MID($B27,BH$1,1)</f>
        <v>0</v>
      </c>
      <c r="BI28" s="1" t="str">
        <f t="shared" ref="BI28" si="2129">MID($B27,BI$1,1)</f>
        <v>1</v>
      </c>
      <c r="BJ28" s="1" t="str">
        <f t="shared" ref="BJ28" si="2130">MID($B27,BJ$1,1)</f>
        <v>1</v>
      </c>
      <c r="BK28" s="1" t="str">
        <f t="shared" ref="BK28" si="2131">MID($B27,BK$1,1)</f>
        <v>1</v>
      </c>
      <c r="BL28" s="1" t="str">
        <f t="shared" ref="BL28" si="2132">MID($B27,BL$1,1)</f>
        <v>1</v>
      </c>
      <c r="BM28" s="1" t="str">
        <f t="shared" ref="BM28" si="2133">MID($B27,BM$1,1)</f>
        <v>1</v>
      </c>
      <c r="BN28" s="1"/>
      <c r="BO28" s="1" t="str">
        <f>MID($BO27,BO$1,1)</f>
        <v>1</v>
      </c>
      <c r="BP28" s="1" t="str">
        <f t="shared" ref="BP28" si="2134">MID($BO27,BP$1,1)</f>
        <v>0</v>
      </c>
      <c r="BQ28" s="1" t="str">
        <f t="shared" ref="BQ28" si="2135">MID($BO27,BQ$1,1)</f>
        <v>1</v>
      </c>
      <c r="BR28" s="1" t="str">
        <f t="shared" ref="BR28" si="2136">MID($BO27,BR$1,1)</f>
        <v>1</v>
      </c>
      <c r="BS28" s="1" t="str">
        <f t="shared" ref="BS28" si="2137">MID($BO27,BS$1,1)</f>
        <v>1</v>
      </c>
      <c r="BT28" s="1" t="str">
        <f t="shared" ref="BT28" si="2138">MID($BO27,BT$1,1)</f>
        <v>0</v>
      </c>
      <c r="BU28" s="1" t="str">
        <f t="shared" ref="BU28" si="2139">MID($BO27,BU$1,1)</f>
        <v>1</v>
      </c>
      <c r="BV28" s="1" t="str">
        <f t="shared" ref="BV28" si="2140">MID($BO27,BV$1,1)</f>
        <v>1</v>
      </c>
      <c r="BW28" s="1" t="str">
        <f t="shared" ref="BW28" si="2141">MID($BO27,BW$1,1)</f>
        <v>0</v>
      </c>
      <c r="BX28" s="1" t="str">
        <f t="shared" ref="BX28" si="2142">MID($BO27,BX$1,1)</f>
        <v>1</v>
      </c>
      <c r="BY28" s="1" t="str">
        <f t="shared" ref="BY28" si="2143">MID($BO27,BY$1,1)</f>
        <v>0</v>
      </c>
      <c r="BZ28" s="1" t="str">
        <f t="shared" ref="BZ28" si="2144">MID($BO27,BZ$1,1)</f>
        <v>0</v>
      </c>
      <c r="CA28" s="1" t="str">
        <f t="shared" ref="CA28" si="2145">MID($BO27,CA$1,1)</f>
        <v>1</v>
      </c>
      <c r="CB28" s="1" t="str">
        <f t="shared" ref="CB28" si="2146">MID($BO27,CB$1,1)</f>
        <v>0</v>
      </c>
      <c r="CC28" s="1" t="str">
        <f t="shared" ref="CC28" si="2147">MID($BO27,CC$1,1)</f>
        <v>1</v>
      </c>
      <c r="CD28" s="1" t="str">
        <f t="shared" ref="CD28" si="2148">MID($BO27,CD$1,1)</f>
        <v>0</v>
      </c>
      <c r="CE28" s="1" t="str">
        <f t="shared" ref="CE28" si="2149">MID($BO27,CE$1,1)</f>
        <v>0</v>
      </c>
      <c r="CF28" s="1" t="str">
        <f t="shared" ref="CF28" si="2150">MID($BO27,CF$1,1)</f>
        <v>1</v>
      </c>
      <c r="CG28" s="1" t="str">
        <f t="shared" ref="CG28" si="2151">MID($BO27,CG$1,1)</f>
        <v>0</v>
      </c>
      <c r="CH28" s="1" t="str">
        <f t="shared" ref="CH28" si="2152">MID($BO27,CH$1,1)</f>
        <v>0</v>
      </c>
      <c r="CI28" s="1" t="str">
        <f t="shared" ref="CI28" si="2153">MID($BO27,CI$1,1)</f>
        <v>0</v>
      </c>
      <c r="CJ28" s="1" t="str">
        <f t="shared" ref="CJ28" si="2154">MID($BO27,CJ$1,1)</f>
        <v>1</v>
      </c>
      <c r="CK28" s="1" t="str">
        <f t="shared" ref="CK28" si="2155">MID($BO27,CK$1,1)</f>
        <v>0</v>
      </c>
      <c r="CL28" s="1" t="str">
        <f t="shared" ref="CL28" si="2156">MID($BO27,CL$1,1)</f>
        <v>1</v>
      </c>
      <c r="CM28" s="1" t="str">
        <f t="shared" ref="CM28" si="2157">MID($BO27,CM$1,1)</f>
        <v>1</v>
      </c>
      <c r="CN28" s="1" t="str">
        <f t="shared" ref="CN28" si="2158">MID($BO27,CN$1,1)</f>
        <v>1</v>
      </c>
      <c r="CO28" s="1" t="str">
        <f t="shared" ref="CO28" si="2159">MID($BO27,CO$1,1)</f>
        <v>0</v>
      </c>
      <c r="CP28" s="1" t="str">
        <f t="shared" ref="CP28" si="2160">MID($BO27,CP$1,1)</f>
        <v>1</v>
      </c>
      <c r="CQ28" s="1" t="str">
        <f t="shared" ref="CQ28" si="2161">MID($BO27,CQ$1,1)</f>
        <v>0</v>
      </c>
      <c r="CR28" s="1" t="str">
        <f t="shared" ref="CR28" si="2162">MID($BO27,CR$1,1)</f>
        <v>1</v>
      </c>
      <c r="CS28" s="1" t="str">
        <f t="shared" ref="CS28" si="2163">MID($BO27,CS$1,1)</f>
        <v>0</v>
      </c>
      <c r="CT28" s="1" t="str">
        <f t="shared" ref="CT28" si="2164">MID($BO27,CT$1,1)</f>
        <v>0</v>
      </c>
      <c r="CU28" s="1" t="str">
        <f t="shared" ref="CU28" si="2165">MID($BO27,CU$1,1)</f>
        <v>1</v>
      </c>
      <c r="CV28" s="1" t="str">
        <f t="shared" ref="CV28" si="2166">MID($BO27,CV$1,1)</f>
        <v>1</v>
      </c>
      <c r="CW28" s="1" t="str">
        <f t="shared" ref="CW28" si="2167">MID($BO27,CW$1,1)</f>
        <v>1</v>
      </c>
      <c r="CX28" s="1" t="str">
        <f t="shared" ref="CX28" si="2168">MID($BO27,CX$1,1)</f>
        <v>0</v>
      </c>
      <c r="CY28" s="1" t="str">
        <f t="shared" ref="CY28" si="2169">MID($BO27,CY$1,1)</f>
        <v>0</v>
      </c>
      <c r="CZ28" s="1" t="str">
        <f t="shared" ref="CZ28" si="2170">MID($BO27,CZ$1,1)</f>
        <v>1</v>
      </c>
      <c r="DA28" s="1" t="str">
        <f t="shared" ref="DA28" si="2171">MID($BO27,DA$1,1)</f>
        <v>0</v>
      </c>
      <c r="DB28" s="1" t="str">
        <f t="shared" ref="DB28" si="2172">MID($BO27,DB$1,1)</f>
        <v>1</v>
      </c>
      <c r="DC28" s="1" t="str">
        <f t="shared" ref="DC28" si="2173">MID($BO27,DC$1,1)</f>
        <v>1</v>
      </c>
      <c r="DD28" s="1" t="str">
        <f t="shared" ref="DD28" si="2174">MID($BO27,DD$1,1)</f>
        <v>0</v>
      </c>
      <c r="DE28" s="1" t="str">
        <f t="shared" ref="DE28" si="2175">MID($BO27,DE$1,1)</f>
        <v>1</v>
      </c>
      <c r="DF28" s="1" t="str">
        <f t="shared" ref="DF28" si="2176">MID($BO27,DF$1,1)</f>
        <v>0</v>
      </c>
      <c r="DG28" s="1" t="str">
        <f t="shared" ref="DG28" si="2177">MID($BO27,DG$1,1)</f>
        <v>0</v>
      </c>
      <c r="DH28" s="1" t="str">
        <f t="shared" ref="DH28" si="2178">MID($BO27,DH$1,1)</f>
        <v>1</v>
      </c>
      <c r="DI28" s="1" t="str">
        <f t="shared" ref="DI28" si="2179">MID($BO27,DI$1,1)</f>
        <v>1</v>
      </c>
      <c r="DJ28" s="1" t="str">
        <f t="shared" ref="DJ28" si="2180">MID($BO27,DJ$1,1)</f>
        <v>0</v>
      </c>
      <c r="DK28" s="1" t="str">
        <f t="shared" ref="DK28" si="2181">MID($BO27,DK$1,1)</f>
        <v>1</v>
      </c>
      <c r="DL28" s="1" t="str">
        <f t="shared" ref="DL28" si="2182">MID($BO27,DL$1,1)</f>
        <v>1</v>
      </c>
      <c r="DM28" s="1" t="str">
        <f t="shared" ref="DM28" si="2183">MID($BO27,DM$1,1)</f>
        <v>1</v>
      </c>
      <c r="DN28" s="1" t="str">
        <f t="shared" ref="DN28" si="2184">MID($BO27,DN$1,1)</f>
        <v>0</v>
      </c>
      <c r="DO28" s="1" t="str">
        <f t="shared" ref="DO28" si="2185">MID($BO27,DO$1,1)</f>
        <v>1</v>
      </c>
      <c r="DP28" s="1" t="str">
        <f t="shared" ref="DP28" si="2186">MID($BO27,DP$1,1)</f>
        <v>1</v>
      </c>
      <c r="DQ28" s="1" t="str">
        <f t="shared" ref="DQ28" si="2187">MID($BO27,DQ$1,1)</f>
        <v>1</v>
      </c>
      <c r="DR28" s="1" t="str">
        <f t="shared" ref="DR28" si="2188">MID($BO27,DR$1,1)</f>
        <v>0</v>
      </c>
      <c r="DS28" s="1" t="str">
        <f t="shared" ref="DS28" si="2189">MID($BO27,DS$1,1)</f>
        <v>0</v>
      </c>
      <c r="DT28" s="1" t="str">
        <f t="shared" ref="DT28" si="2190">MID($BO27,DT$1,1)</f>
        <v>0</v>
      </c>
      <c r="DU28" s="1" t="str">
        <f t="shared" ref="DU28" si="2191">MID($BO27,DU$1,1)</f>
        <v>1</v>
      </c>
      <c r="DV28" s="1" t="str">
        <f t="shared" ref="DV28" si="2192">MID($BO27,DV$1,1)</f>
        <v>1</v>
      </c>
      <c r="DW28" s="1" t="str">
        <f t="shared" ref="DW28" si="2193">MID($BO27,DW$1,1)</f>
        <v>0</v>
      </c>
      <c r="DX28" s="1" t="str">
        <f t="shared" ref="DX28" si="2194">MID($BO27,DX$1,1)</f>
        <v>1</v>
      </c>
      <c r="DY28" s="1" t="str">
        <f t="shared" ref="DY28" si="2195">MID($BO27,DY$1,1)</f>
        <v>0</v>
      </c>
      <c r="DZ28" s="1" t="str">
        <f t="shared" ref="DZ28" si="2196">MID($BO27,DZ$1,1)</f>
        <v>1</v>
      </c>
      <c r="EB28" s="1">
        <f>IF(B28=BO28,0,1)</f>
        <v>0</v>
      </c>
      <c r="EC28" s="1">
        <f>IF(C28=BP28,0,1)</f>
        <v>1</v>
      </c>
      <c r="ED28" s="1">
        <f t="shared" ref="ED28" si="2197">IF(D28=BQ28,0,1)</f>
        <v>1</v>
      </c>
      <c r="EE28" s="1">
        <f t="shared" ref="EE28" si="2198">IF(E28=BR28,0,1)</f>
        <v>1</v>
      </c>
      <c r="EF28" s="1">
        <f t="shared" ref="EF28" si="2199">IF(F28=BS28,0,1)</f>
        <v>0</v>
      </c>
      <c r="EG28" s="1">
        <f t="shared" ref="EG28" si="2200">IF(G28=BT28,0,1)</f>
        <v>1</v>
      </c>
      <c r="EH28" s="1">
        <f t="shared" ref="EH28" si="2201">IF(H28=BU28,0,1)</f>
        <v>1</v>
      </c>
      <c r="EI28" s="1">
        <f t="shared" ref="EI28" si="2202">IF(I28=BV28,0,1)</f>
        <v>0</v>
      </c>
      <c r="EJ28" s="1">
        <f t="shared" ref="EJ28" si="2203">IF(J28=BW28,0,1)</f>
        <v>1</v>
      </c>
      <c r="EK28" s="1">
        <f t="shared" ref="EK28" si="2204">IF(K28=BX28,0,1)</f>
        <v>0</v>
      </c>
      <c r="EL28" s="1">
        <f t="shared" ref="EL28" si="2205">IF(L28=BY28,0,1)</f>
        <v>1</v>
      </c>
      <c r="EM28" s="1">
        <f t="shared" ref="EM28" si="2206">IF(M28=BZ28,0,1)</f>
        <v>1</v>
      </c>
      <c r="EN28" s="1">
        <f t="shared" ref="EN28" si="2207">IF(N28=CA28,0,1)</f>
        <v>0</v>
      </c>
      <c r="EO28" s="1">
        <f t="shared" ref="EO28" si="2208">IF(O28=CB28,0,1)</f>
        <v>0</v>
      </c>
      <c r="EP28" s="1">
        <f t="shared" ref="EP28" si="2209">IF(P28=CC28,0,1)</f>
        <v>1</v>
      </c>
      <c r="EQ28" s="1">
        <f t="shared" ref="EQ28" si="2210">IF(Q28=CD28,0,1)</f>
        <v>0</v>
      </c>
      <c r="ER28" s="1">
        <f t="shared" ref="ER28" si="2211">IF(R28=CE28,0,1)</f>
        <v>0</v>
      </c>
      <c r="ES28" s="1">
        <f t="shared" ref="ES28" si="2212">IF(S28=CF28,0,1)</f>
        <v>1</v>
      </c>
      <c r="ET28" s="1">
        <f t="shared" ref="ET28" si="2213">IF(T28=CG28,0,1)</f>
        <v>0</v>
      </c>
      <c r="EU28" s="1">
        <f t="shared" ref="EU28" si="2214">IF(U28=CH28,0,1)</f>
        <v>0</v>
      </c>
      <c r="EV28" s="1">
        <f t="shared" ref="EV28" si="2215">IF(V28=CI28,0,1)</f>
        <v>1</v>
      </c>
      <c r="EW28" s="1">
        <f t="shared" ref="EW28" si="2216">IF(W28=CJ28,0,1)</f>
        <v>0</v>
      </c>
      <c r="EX28" s="1">
        <f t="shared" ref="EX28" si="2217">IF(X28=CK28,0,1)</f>
        <v>1</v>
      </c>
      <c r="EY28" s="1">
        <f t="shared" ref="EY28" si="2218">IF(Y28=CL28,0,1)</f>
        <v>0</v>
      </c>
      <c r="EZ28" s="1">
        <f t="shared" ref="EZ28" si="2219">IF(Z28=CM28,0,1)</f>
        <v>0</v>
      </c>
      <c r="FA28" s="1">
        <f t="shared" ref="FA28" si="2220">IF(AA28=CN28,0,1)</f>
        <v>1</v>
      </c>
      <c r="FB28" s="1">
        <f t="shared" ref="FB28" si="2221">IF(AB28=CO28,0,1)</f>
        <v>1</v>
      </c>
      <c r="FC28" s="1">
        <f t="shared" ref="FC28" si="2222">IF(AC28=CP28,0,1)</f>
        <v>0</v>
      </c>
      <c r="FD28" s="1">
        <f t="shared" ref="FD28" si="2223">IF(AD28=CQ28,0,1)</f>
        <v>0</v>
      </c>
      <c r="FE28" s="1">
        <f t="shared" ref="FE28" si="2224">IF(AE28=CR28,0,1)</f>
        <v>1</v>
      </c>
      <c r="FF28" s="1">
        <f t="shared" ref="FF28" si="2225">IF(AF28=CS28,0,1)</f>
        <v>0</v>
      </c>
      <c r="FG28" s="1">
        <f t="shared" ref="FG28" si="2226">IF(AG28=CT28,0,1)</f>
        <v>1</v>
      </c>
      <c r="FH28" s="1">
        <f t="shared" ref="FH28" si="2227">IF(AH28=CU28,0,1)</f>
        <v>0</v>
      </c>
      <c r="FI28" s="1">
        <f t="shared" ref="FI28" si="2228">IF(AI28=CV28,0,1)</f>
        <v>1</v>
      </c>
      <c r="FJ28" s="1">
        <f t="shared" ref="FJ28" si="2229">IF(AJ28=CW28,0,1)</f>
        <v>0</v>
      </c>
      <c r="FK28" s="1">
        <f t="shared" ref="FK28" si="2230">IF(AK28=CX28,0,1)</f>
        <v>0</v>
      </c>
      <c r="FL28" s="1">
        <f t="shared" ref="FL28" si="2231">IF(AL28=CY28,0,1)</f>
        <v>1</v>
      </c>
      <c r="FM28" s="1">
        <f t="shared" ref="FM28" si="2232">IF(AM28=CZ28,0,1)</f>
        <v>1</v>
      </c>
      <c r="FN28" s="1">
        <f t="shared" ref="FN28" si="2233">IF(AN28=DA28,0,1)</f>
        <v>0</v>
      </c>
      <c r="FO28" s="1">
        <f t="shared" ref="FO28" si="2234">IF(AO28=DB28,0,1)</f>
        <v>0</v>
      </c>
      <c r="FP28" s="1">
        <f t="shared" ref="FP28" si="2235">IF(AP28=DC28,0,1)</f>
        <v>0</v>
      </c>
      <c r="FQ28" s="1">
        <f t="shared" ref="FQ28" si="2236">IF(AQ28=DD28,0,1)</f>
        <v>1</v>
      </c>
      <c r="FR28" s="1">
        <f t="shared" ref="FR28" si="2237">IF(AR28=DE28,0,1)</f>
        <v>1</v>
      </c>
      <c r="FS28" s="1">
        <f t="shared" ref="FS28" si="2238">IF(AS28=DF28,0,1)</f>
        <v>0</v>
      </c>
      <c r="FT28" s="1">
        <f t="shared" ref="FT28" si="2239">IF(AT28=DG28,0,1)</f>
        <v>1</v>
      </c>
      <c r="FU28" s="1">
        <f t="shared" ref="FU28" si="2240">IF(AU28=DH28,0,1)</f>
        <v>1</v>
      </c>
      <c r="FV28" s="1">
        <f t="shared" ref="FV28" si="2241">IF(AV28=DI28,0,1)</f>
        <v>0</v>
      </c>
      <c r="FW28" s="1">
        <f t="shared" ref="FW28" si="2242">IF(AW28=DJ28,0,1)</f>
        <v>0</v>
      </c>
      <c r="FX28" s="1">
        <f t="shared" ref="FX28" si="2243">IF(AX28=DK28,0,1)</f>
        <v>0</v>
      </c>
      <c r="FY28" s="1">
        <f t="shared" ref="FY28" si="2244">IF(AY28=DL28,0,1)</f>
        <v>0</v>
      </c>
      <c r="FZ28" s="1">
        <f t="shared" ref="FZ28" si="2245">IF(AZ28=DM28,0,1)</f>
        <v>1</v>
      </c>
      <c r="GA28" s="1">
        <f t="shared" ref="GA28" si="2246">IF(BA28=DN28,0,1)</f>
        <v>0</v>
      </c>
      <c r="GB28" s="1">
        <f t="shared" ref="GB28" si="2247">IF(BB28=DO28,0,1)</f>
        <v>1</v>
      </c>
      <c r="GC28" s="1">
        <f t="shared" ref="GC28" si="2248">IF(BC28=DP28,0,1)</f>
        <v>0</v>
      </c>
      <c r="GD28" s="1">
        <f t="shared" ref="GD28" si="2249">IF(BD28=DQ28,0,1)</f>
        <v>1</v>
      </c>
      <c r="GE28" s="1">
        <f t="shared" ref="GE28" si="2250">IF(BE28=DR28,0,1)</f>
        <v>0</v>
      </c>
      <c r="GF28" s="1">
        <f t="shared" ref="GF28" si="2251">IF(BF28=DS28,0,1)</f>
        <v>1</v>
      </c>
      <c r="GG28" s="1">
        <f t="shared" ref="GG28" si="2252">IF(BG28=DT28,0,1)</f>
        <v>1</v>
      </c>
      <c r="GH28" s="1">
        <f t="shared" ref="GH28" si="2253">IF(BH28=DU28,0,1)</f>
        <v>1</v>
      </c>
      <c r="GI28" s="1">
        <f t="shared" ref="GI28" si="2254">IF(BI28=DV28,0,1)</f>
        <v>0</v>
      </c>
      <c r="GJ28" s="1">
        <f t="shared" ref="GJ28" si="2255">IF(BJ28=DW28,0,1)</f>
        <v>1</v>
      </c>
      <c r="GK28" s="1">
        <f t="shared" ref="GK28" si="2256">IF(BK28=DX28,0,1)</f>
        <v>0</v>
      </c>
      <c r="GL28" s="1">
        <f t="shared" ref="GL28" si="2257">IF(BL28=DY28,0,1)</f>
        <v>1</v>
      </c>
      <c r="GM28" s="1">
        <f t="shared" ref="GM28" si="2258">IF(BM28=DZ28,0,1)</f>
        <v>0</v>
      </c>
      <c r="GO28" s="27">
        <f>SUM(EB28:GM28)</f>
        <v>31</v>
      </c>
    </row>
    <row r="29" spans="1:205">
      <c r="A29" s="2">
        <v>13</v>
      </c>
      <c r="B29" t="str">
        <f>VLOOKUP(A29,MESSAGE,2,FALSE)</f>
        <v>0010110000100011010010010111001011001101111110000000111110110001</v>
      </c>
      <c r="BO29" t="str">
        <f>VLOOKUP(A29,MESSAGE, 4,FALSE)</f>
        <v>0101111011000111110001001110111010111011010010100100010111010100</v>
      </c>
    </row>
    <row r="30" spans="1:205">
      <c r="A30" s="2"/>
      <c r="B30" s="1" t="str">
        <f>MID($B29,B$1,1)</f>
        <v>0</v>
      </c>
      <c r="C30" s="1" t="str">
        <f t="shared" ref="C30" si="2259">MID($B29,C$1,1)</f>
        <v>0</v>
      </c>
      <c r="D30" s="1" t="str">
        <f t="shared" ref="D30" si="2260">MID($B29,D$1,1)</f>
        <v>1</v>
      </c>
      <c r="E30" s="1" t="str">
        <f t="shared" ref="E30" si="2261">MID($B29,E$1,1)</f>
        <v>0</v>
      </c>
      <c r="F30" s="1" t="str">
        <f t="shared" ref="F30" si="2262">MID($B29,F$1,1)</f>
        <v>1</v>
      </c>
      <c r="G30" s="1" t="str">
        <f t="shared" ref="G30" si="2263">MID($B29,G$1,1)</f>
        <v>1</v>
      </c>
      <c r="H30" s="1" t="str">
        <f t="shared" ref="H30" si="2264">MID($B29,H$1,1)</f>
        <v>0</v>
      </c>
      <c r="I30" s="1" t="str">
        <f t="shared" ref="I30" si="2265">MID($B29,I$1,1)</f>
        <v>0</v>
      </c>
      <c r="J30" s="1" t="str">
        <f t="shared" ref="J30" si="2266">MID($B29,J$1,1)</f>
        <v>0</v>
      </c>
      <c r="K30" s="1" t="str">
        <f t="shared" ref="K30" si="2267">MID($B29,K$1,1)</f>
        <v>0</v>
      </c>
      <c r="L30" s="1" t="str">
        <f t="shared" ref="L30" si="2268">MID($B29,L$1,1)</f>
        <v>1</v>
      </c>
      <c r="M30" s="1" t="str">
        <f t="shared" ref="M30" si="2269">MID($B29,M$1,1)</f>
        <v>0</v>
      </c>
      <c r="N30" s="1" t="str">
        <f t="shared" ref="N30" si="2270">MID($B29,N$1,1)</f>
        <v>0</v>
      </c>
      <c r="O30" s="1" t="str">
        <f t="shared" ref="O30" si="2271">MID($B29,O$1,1)</f>
        <v>0</v>
      </c>
      <c r="P30" s="1" t="str">
        <f t="shared" ref="P30" si="2272">MID($B29,P$1,1)</f>
        <v>1</v>
      </c>
      <c r="Q30" s="1" t="str">
        <f t="shared" ref="Q30" si="2273">MID($B29,Q$1,1)</f>
        <v>1</v>
      </c>
      <c r="R30" s="1" t="str">
        <f t="shared" ref="R30" si="2274">MID($B29,R$1,1)</f>
        <v>0</v>
      </c>
      <c r="S30" s="1" t="str">
        <f t="shared" ref="S30" si="2275">MID($B29,S$1,1)</f>
        <v>1</v>
      </c>
      <c r="T30" s="1" t="str">
        <f t="shared" ref="T30" si="2276">MID($B29,T$1,1)</f>
        <v>0</v>
      </c>
      <c r="U30" s="1" t="str">
        <f t="shared" ref="U30" si="2277">MID($B29,U$1,1)</f>
        <v>0</v>
      </c>
      <c r="V30" s="1" t="str">
        <f t="shared" ref="V30" si="2278">MID($B29,V$1,1)</f>
        <v>1</v>
      </c>
      <c r="W30" s="1" t="str">
        <f t="shared" ref="W30" si="2279">MID($B29,W$1,1)</f>
        <v>0</v>
      </c>
      <c r="X30" s="1" t="str">
        <f t="shared" ref="X30" si="2280">MID($B29,X$1,1)</f>
        <v>0</v>
      </c>
      <c r="Y30" s="1" t="str">
        <f t="shared" ref="Y30" si="2281">MID($B29,Y$1,1)</f>
        <v>1</v>
      </c>
      <c r="Z30" s="1" t="str">
        <f t="shared" ref="Z30" si="2282">MID($B29,Z$1,1)</f>
        <v>0</v>
      </c>
      <c r="AA30" s="1" t="str">
        <f t="shared" ref="AA30" si="2283">MID($B29,AA$1,1)</f>
        <v>1</v>
      </c>
      <c r="AB30" s="1" t="str">
        <f t="shared" ref="AB30" si="2284">MID($B29,AB$1,1)</f>
        <v>1</v>
      </c>
      <c r="AC30" s="1" t="str">
        <f t="shared" ref="AC30" si="2285">MID($B29,AC$1,1)</f>
        <v>1</v>
      </c>
      <c r="AD30" s="1" t="str">
        <f t="shared" ref="AD30" si="2286">MID($B29,AD$1,1)</f>
        <v>0</v>
      </c>
      <c r="AE30" s="1" t="str">
        <f t="shared" ref="AE30" si="2287">MID($B29,AE$1,1)</f>
        <v>0</v>
      </c>
      <c r="AF30" s="1" t="str">
        <f t="shared" ref="AF30" si="2288">MID($B29,AF$1,1)</f>
        <v>1</v>
      </c>
      <c r="AG30" s="1" t="str">
        <f t="shared" ref="AG30" si="2289">MID($B29,AG$1,1)</f>
        <v>0</v>
      </c>
      <c r="AH30" s="1" t="str">
        <f t="shared" ref="AH30" si="2290">MID($B29,AH$1,1)</f>
        <v>1</v>
      </c>
      <c r="AI30" s="1" t="str">
        <f t="shared" ref="AI30" si="2291">MID($B29,AI$1,1)</f>
        <v>1</v>
      </c>
      <c r="AJ30" s="1" t="str">
        <f t="shared" ref="AJ30" si="2292">MID($B29,AJ$1,1)</f>
        <v>0</v>
      </c>
      <c r="AK30" s="1" t="str">
        <f t="shared" ref="AK30" si="2293">MID($B29,AK$1,1)</f>
        <v>0</v>
      </c>
      <c r="AL30" s="1" t="str">
        <f t="shared" ref="AL30" si="2294">MID($B29,AL$1,1)</f>
        <v>1</v>
      </c>
      <c r="AM30" s="1" t="str">
        <f t="shared" ref="AM30" si="2295">MID($B29,AM$1,1)</f>
        <v>1</v>
      </c>
      <c r="AN30" s="1" t="str">
        <f t="shared" ref="AN30" si="2296">MID($B29,AN$1,1)</f>
        <v>0</v>
      </c>
      <c r="AO30" s="1" t="str">
        <f t="shared" ref="AO30" si="2297">MID($B29,AO$1,1)</f>
        <v>1</v>
      </c>
      <c r="AP30" s="1" t="str">
        <f t="shared" ref="AP30" si="2298">MID($B29,AP$1,1)</f>
        <v>1</v>
      </c>
      <c r="AQ30" s="1" t="str">
        <f t="shared" ref="AQ30" si="2299">MID($B29,AQ$1,1)</f>
        <v>1</v>
      </c>
      <c r="AR30" s="1" t="str">
        <f t="shared" ref="AR30" si="2300">MID($B29,AR$1,1)</f>
        <v>1</v>
      </c>
      <c r="AS30" s="1" t="str">
        <f t="shared" ref="AS30" si="2301">MID($B29,AS$1,1)</f>
        <v>1</v>
      </c>
      <c r="AT30" s="1" t="str">
        <f t="shared" ref="AT30" si="2302">MID($B29,AT$1,1)</f>
        <v>1</v>
      </c>
      <c r="AU30" s="1" t="str">
        <f t="shared" ref="AU30" si="2303">MID($B29,AU$1,1)</f>
        <v>0</v>
      </c>
      <c r="AV30" s="1" t="str">
        <f t="shared" ref="AV30" si="2304">MID($B29,AV$1,1)</f>
        <v>0</v>
      </c>
      <c r="AW30" s="1" t="str">
        <f t="shared" ref="AW30" si="2305">MID($B29,AW$1,1)</f>
        <v>0</v>
      </c>
      <c r="AX30" s="1" t="str">
        <f t="shared" ref="AX30" si="2306">MID($B29,AX$1,1)</f>
        <v>0</v>
      </c>
      <c r="AY30" s="1" t="str">
        <f t="shared" ref="AY30" si="2307">MID($B29,AY$1,1)</f>
        <v>0</v>
      </c>
      <c r="AZ30" s="1" t="str">
        <f t="shared" ref="AZ30" si="2308">MID($B29,AZ$1,1)</f>
        <v>0</v>
      </c>
      <c r="BA30" s="1" t="str">
        <f t="shared" ref="BA30" si="2309">MID($B29,BA$1,1)</f>
        <v>0</v>
      </c>
      <c r="BB30" s="1" t="str">
        <f t="shared" ref="BB30" si="2310">MID($B29,BB$1,1)</f>
        <v>1</v>
      </c>
      <c r="BC30" s="1" t="str">
        <f t="shared" ref="BC30" si="2311">MID($B29,BC$1,1)</f>
        <v>1</v>
      </c>
      <c r="BD30" s="1" t="str">
        <f t="shared" ref="BD30" si="2312">MID($B29,BD$1,1)</f>
        <v>1</v>
      </c>
      <c r="BE30" s="1" t="str">
        <f t="shared" ref="BE30" si="2313">MID($B29,BE$1,1)</f>
        <v>1</v>
      </c>
      <c r="BF30" s="1" t="str">
        <f t="shared" ref="BF30" si="2314">MID($B29,BF$1,1)</f>
        <v>1</v>
      </c>
      <c r="BG30" s="1" t="str">
        <f t="shared" ref="BG30" si="2315">MID($B29,BG$1,1)</f>
        <v>0</v>
      </c>
      <c r="BH30" s="1" t="str">
        <f t="shared" ref="BH30" si="2316">MID($B29,BH$1,1)</f>
        <v>1</v>
      </c>
      <c r="BI30" s="1" t="str">
        <f t="shared" ref="BI30" si="2317">MID($B29,BI$1,1)</f>
        <v>1</v>
      </c>
      <c r="BJ30" s="1" t="str">
        <f t="shared" ref="BJ30" si="2318">MID($B29,BJ$1,1)</f>
        <v>0</v>
      </c>
      <c r="BK30" s="1" t="str">
        <f t="shared" ref="BK30" si="2319">MID($B29,BK$1,1)</f>
        <v>0</v>
      </c>
      <c r="BL30" s="1" t="str">
        <f t="shared" ref="BL30" si="2320">MID($B29,BL$1,1)</f>
        <v>0</v>
      </c>
      <c r="BM30" s="1" t="str">
        <f t="shared" ref="BM30" si="2321">MID($B29,BM$1,1)</f>
        <v>1</v>
      </c>
      <c r="BN30" s="1"/>
      <c r="BO30" s="1" t="str">
        <f>MID($BO29,BO$1,1)</f>
        <v>0</v>
      </c>
      <c r="BP30" s="1" t="str">
        <f t="shared" ref="BP30" si="2322">MID($BO29,BP$1,1)</f>
        <v>1</v>
      </c>
      <c r="BQ30" s="1" t="str">
        <f t="shared" ref="BQ30" si="2323">MID($BO29,BQ$1,1)</f>
        <v>0</v>
      </c>
      <c r="BR30" s="1" t="str">
        <f t="shared" ref="BR30" si="2324">MID($BO29,BR$1,1)</f>
        <v>1</v>
      </c>
      <c r="BS30" s="1" t="str">
        <f t="shared" ref="BS30" si="2325">MID($BO29,BS$1,1)</f>
        <v>1</v>
      </c>
      <c r="BT30" s="1" t="str">
        <f t="shared" ref="BT30" si="2326">MID($BO29,BT$1,1)</f>
        <v>1</v>
      </c>
      <c r="BU30" s="1" t="str">
        <f t="shared" ref="BU30" si="2327">MID($BO29,BU$1,1)</f>
        <v>1</v>
      </c>
      <c r="BV30" s="1" t="str">
        <f t="shared" ref="BV30" si="2328">MID($BO29,BV$1,1)</f>
        <v>0</v>
      </c>
      <c r="BW30" s="1" t="str">
        <f t="shared" ref="BW30" si="2329">MID($BO29,BW$1,1)</f>
        <v>1</v>
      </c>
      <c r="BX30" s="1" t="str">
        <f t="shared" ref="BX30" si="2330">MID($BO29,BX$1,1)</f>
        <v>1</v>
      </c>
      <c r="BY30" s="1" t="str">
        <f t="shared" ref="BY30" si="2331">MID($BO29,BY$1,1)</f>
        <v>0</v>
      </c>
      <c r="BZ30" s="1" t="str">
        <f t="shared" ref="BZ30" si="2332">MID($BO29,BZ$1,1)</f>
        <v>0</v>
      </c>
      <c r="CA30" s="1" t="str">
        <f t="shared" ref="CA30" si="2333">MID($BO29,CA$1,1)</f>
        <v>0</v>
      </c>
      <c r="CB30" s="1" t="str">
        <f t="shared" ref="CB30" si="2334">MID($BO29,CB$1,1)</f>
        <v>1</v>
      </c>
      <c r="CC30" s="1" t="str">
        <f t="shared" ref="CC30" si="2335">MID($BO29,CC$1,1)</f>
        <v>1</v>
      </c>
      <c r="CD30" s="1" t="str">
        <f t="shared" ref="CD30" si="2336">MID($BO29,CD$1,1)</f>
        <v>1</v>
      </c>
      <c r="CE30" s="1" t="str">
        <f t="shared" ref="CE30" si="2337">MID($BO29,CE$1,1)</f>
        <v>1</v>
      </c>
      <c r="CF30" s="1" t="str">
        <f t="shared" ref="CF30" si="2338">MID($BO29,CF$1,1)</f>
        <v>1</v>
      </c>
      <c r="CG30" s="1" t="str">
        <f t="shared" ref="CG30" si="2339">MID($BO29,CG$1,1)</f>
        <v>0</v>
      </c>
      <c r="CH30" s="1" t="str">
        <f t="shared" ref="CH30" si="2340">MID($BO29,CH$1,1)</f>
        <v>0</v>
      </c>
      <c r="CI30" s="1" t="str">
        <f t="shared" ref="CI30" si="2341">MID($BO29,CI$1,1)</f>
        <v>0</v>
      </c>
      <c r="CJ30" s="1" t="str">
        <f t="shared" ref="CJ30" si="2342">MID($BO29,CJ$1,1)</f>
        <v>1</v>
      </c>
      <c r="CK30" s="1" t="str">
        <f t="shared" ref="CK30" si="2343">MID($BO29,CK$1,1)</f>
        <v>0</v>
      </c>
      <c r="CL30" s="1" t="str">
        <f t="shared" ref="CL30" si="2344">MID($BO29,CL$1,1)</f>
        <v>0</v>
      </c>
      <c r="CM30" s="1" t="str">
        <f t="shared" ref="CM30" si="2345">MID($BO29,CM$1,1)</f>
        <v>1</v>
      </c>
      <c r="CN30" s="1" t="str">
        <f t="shared" ref="CN30" si="2346">MID($BO29,CN$1,1)</f>
        <v>1</v>
      </c>
      <c r="CO30" s="1" t="str">
        <f t="shared" ref="CO30" si="2347">MID($BO29,CO$1,1)</f>
        <v>1</v>
      </c>
      <c r="CP30" s="1" t="str">
        <f t="shared" ref="CP30" si="2348">MID($BO29,CP$1,1)</f>
        <v>0</v>
      </c>
      <c r="CQ30" s="1" t="str">
        <f t="shared" ref="CQ30" si="2349">MID($BO29,CQ$1,1)</f>
        <v>1</v>
      </c>
      <c r="CR30" s="1" t="str">
        <f t="shared" ref="CR30" si="2350">MID($BO29,CR$1,1)</f>
        <v>1</v>
      </c>
      <c r="CS30" s="1" t="str">
        <f t="shared" ref="CS30" si="2351">MID($BO29,CS$1,1)</f>
        <v>1</v>
      </c>
      <c r="CT30" s="1" t="str">
        <f t="shared" ref="CT30" si="2352">MID($BO29,CT$1,1)</f>
        <v>0</v>
      </c>
      <c r="CU30" s="1" t="str">
        <f t="shared" ref="CU30" si="2353">MID($BO29,CU$1,1)</f>
        <v>1</v>
      </c>
      <c r="CV30" s="1" t="str">
        <f t="shared" ref="CV30" si="2354">MID($BO29,CV$1,1)</f>
        <v>0</v>
      </c>
      <c r="CW30" s="1" t="str">
        <f t="shared" ref="CW30" si="2355">MID($BO29,CW$1,1)</f>
        <v>1</v>
      </c>
      <c r="CX30" s="1" t="str">
        <f t="shared" ref="CX30" si="2356">MID($BO29,CX$1,1)</f>
        <v>1</v>
      </c>
      <c r="CY30" s="1" t="str">
        <f t="shared" ref="CY30" si="2357">MID($BO29,CY$1,1)</f>
        <v>1</v>
      </c>
      <c r="CZ30" s="1" t="str">
        <f t="shared" ref="CZ30" si="2358">MID($BO29,CZ$1,1)</f>
        <v>0</v>
      </c>
      <c r="DA30" s="1" t="str">
        <f t="shared" ref="DA30" si="2359">MID($BO29,DA$1,1)</f>
        <v>1</v>
      </c>
      <c r="DB30" s="1" t="str">
        <f t="shared" ref="DB30" si="2360">MID($BO29,DB$1,1)</f>
        <v>1</v>
      </c>
      <c r="DC30" s="1" t="str">
        <f t="shared" ref="DC30" si="2361">MID($BO29,DC$1,1)</f>
        <v>0</v>
      </c>
      <c r="DD30" s="1" t="str">
        <f t="shared" ref="DD30" si="2362">MID($BO29,DD$1,1)</f>
        <v>1</v>
      </c>
      <c r="DE30" s="1" t="str">
        <f t="shared" ref="DE30" si="2363">MID($BO29,DE$1,1)</f>
        <v>0</v>
      </c>
      <c r="DF30" s="1" t="str">
        <f t="shared" ref="DF30" si="2364">MID($BO29,DF$1,1)</f>
        <v>0</v>
      </c>
      <c r="DG30" s="1" t="str">
        <f t="shared" ref="DG30" si="2365">MID($BO29,DG$1,1)</f>
        <v>1</v>
      </c>
      <c r="DH30" s="1" t="str">
        <f t="shared" ref="DH30" si="2366">MID($BO29,DH$1,1)</f>
        <v>0</v>
      </c>
      <c r="DI30" s="1" t="str">
        <f t="shared" ref="DI30" si="2367">MID($BO29,DI$1,1)</f>
        <v>1</v>
      </c>
      <c r="DJ30" s="1" t="str">
        <f t="shared" ref="DJ30" si="2368">MID($BO29,DJ$1,1)</f>
        <v>0</v>
      </c>
      <c r="DK30" s="1" t="str">
        <f t="shared" ref="DK30" si="2369">MID($BO29,DK$1,1)</f>
        <v>0</v>
      </c>
      <c r="DL30" s="1" t="str">
        <f t="shared" ref="DL30" si="2370">MID($BO29,DL$1,1)</f>
        <v>1</v>
      </c>
      <c r="DM30" s="1" t="str">
        <f t="shared" ref="DM30" si="2371">MID($BO29,DM$1,1)</f>
        <v>0</v>
      </c>
      <c r="DN30" s="1" t="str">
        <f t="shared" ref="DN30" si="2372">MID($BO29,DN$1,1)</f>
        <v>0</v>
      </c>
      <c r="DO30" s="1" t="str">
        <f t="shared" ref="DO30" si="2373">MID($BO29,DO$1,1)</f>
        <v>0</v>
      </c>
      <c r="DP30" s="1" t="str">
        <f t="shared" ref="DP30" si="2374">MID($BO29,DP$1,1)</f>
        <v>1</v>
      </c>
      <c r="DQ30" s="1" t="str">
        <f t="shared" ref="DQ30" si="2375">MID($BO29,DQ$1,1)</f>
        <v>0</v>
      </c>
      <c r="DR30" s="1" t="str">
        <f t="shared" ref="DR30" si="2376">MID($BO29,DR$1,1)</f>
        <v>1</v>
      </c>
      <c r="DS30" s="1" t="str">
        <f t="shared" ref="DS30" si="2377">MID($BO29,DS$1,1)</f>
        <v>1</v>
      </c>
      <c r="DT30" s="1" t="str">
        <f t="shared" ref="DT30" si="2378">MID($BO29,DT$1,1)</f>
        <v>1</v>
      </c>
      <c r="DU30" s="1" t="str">
        <f t="shared" ref="DU30" si="2379">MID($BO29,DU$1,1)</f>
        <v>0</v>
      </c>
      <c r="DV30" s="1" t="str">
        <f t="shared" ref="DV30" si="2380">MID($BO29,DV$1,1)</f>
        <v>1</v>
      </c>
      <c r="DW30" s="1" t="str">
        <f t="shared" ref="DW30" si="2381">MID($BO29,DW$1,1)</f>
        <v>0</v>
      </c>
      <c r="DX30" s="1" t="str">
        <f t="shared" ref="DX30" si="2382">MID($BO29,DX$1,1)</f>
        <v>1</v>
      </c>
      <c r="DY30" s="1" t="str">
        <f t="shared" ref="DY30" si="2383">MID($BO29,DY$1,1)</f>
        <v>0</v>
      </c>
      <c r="DZ30" s="1" t="str">
        <f t="shared" ref="DZ30" si="2384">MID($BO29,DZ$1,1)</f>
        <v>0</v>
      </c>
      <c r="EB30" s="1">
        <f>IF(B30=BO30,0,1)</f>
        <v>0</v>
      </c>
      <c r="EC30" s="1">
        <f>IF(C30=BP30,0,1)</f>
        <v>1</v>
      </c>
      <c r="ED30" s="1">
        <f t="shared" ref="ED30" si="2385">IF(D30=BQ30,0,1)</f>
        <v>1</v>
      </c>
      <c r="EE30" s="1">
        <f t="shared" ref="EE30" si="2386">IF(E30=BR30,0,1)</f>
        <v>1</v>
      </c>
      <c r="EF30" s="1">
        <f t="shared" ref="EF30" si="2387">IF(F30=BS30,0,1)</f>
        <v>0</v>
      </c>
      <c r="EG30" s="1">
        <f t="shared" ref="EG30" si="2388">IF(G30=BT30,0,1)</f>
        <v>0</v>
      </c>
      <c r="EH30" s="1">
        <f t="shared" ref="EH30" si="2389">IF(H30=BU30,0,1)</f>
        <v>1</v>
      </c>
      <c r="EI30" s="1">
        <f t="shared" ref="EI30" si="2390">IF(I30=BV30,0,1)</f>
        <v>0</v>
      </c>
      <c r="EJ30" s="1">
        <f t="shared" ref="EJ30" si="2391">IF(J30=BW30,0,1)</f>
        <v>1</v>
      </c>
      <c r="EK30" s="1">
        <f t="shared" ref="EK30" si="2392">IF(K30=BX30,0,1)</f>
        <v>1</v>
      </c>
      <c r="EL30" s="1">
        <f t="shared" ref="EL30" si="2393">IF(L30=BY30,0,1)</f>
        <v>1</v>
      </c>
      <c r="EM30" s="1">
        <f t="shared" ref="EM30" si="2394">IF(M30=BZ30,0,1)</f>
        <v>0</v>
      </c>
      <c r="EN30" s="1">
        <f t="shared" ref="EN30" si="2395">IF(N30=CA30,0,1)</f>
        <v>0</v>
      </c>
      <c r="EO30" s="1">
        <f t="shared" ref="EO30" si="2396">IF(O30=CB30,0,1)</f>
        <v>1</v>
      </c>
      <c r="EP30" s="1">
        <f t="shared" ref="EP30" si="2397">IF(P30=CC30,0,1)</f>
        <v>0</v>
      </c>
      <c r="EQ30" s="1">
        <f t="shared" ref="EQ30" si="2398">IF(Q30=CD30,0,1)</f>
        <v>0</v>
      </c>
      <c r="ER30" s="1">
        <f t="shared" ref="ER30" si="2399">IF(R30=CE30,0,1)</f>
        <v>1</v>
      </c>
      <c r="ES30" s="1">
        <f t="shared" ref="ES30" si="2400">IF(S30=CF30,0,1)</f>
        <v>0</v>
      </c>
      <c r="ET30" s="1">
        <f t="shared" ref="ET30" si="2401">IF(T30=CG30,0,1)</f>
        <v>0</v>
      </c>
      <c r="EU30" s="1">
        <f t="shared" ref="EU30" si="2402">IF(U30=CH30,0,1)</f>
        <v>0</v>
      </c>
      <c r="EV30" s="1">
        <f t="shared" ref="EV30" si="2403">IF(V30=CI30,0,1)</f>
        <v>1</v>
      </c>
      <c r="EW30" s="1">
        <f t="shared" ref="EW30" si="2404">IF(W30=CJ30,0,1)</f>
        <v>1</v>
      </c>
      <c r="EX30" s="1">
        <f t="shared" ref="EX30" si="2405">IF(X30=CK30,0,1)</f>
        <v>0</v>
      </c>
      <c r="EY30" s="1">
        <f t="shared" ref="EY30" si="2406">IF(Y30=CL30,0,1)</f>
        <v>1</v>
      </c>
      <c r="EZ30" s="1">
        <f t="shared" ref="EZ30" si="2407">IF(Z30=CM30,0,1)</f>
        <v>1</v>
      </c>
      <c r="FA30" s="1">
        <f t="shared" ref="FA30" si="2408">IF(AA30=CN30,0,1)</f>
        <v>0</v>
      </c>
      <c r="FB30" s="1">
        <f t="shared" ref="FB30" si="2409">IF(AB30=CO30,0,1)</f>
        <v>0</v>
      </c>
      <c r="FC30" s="1">
        <f t="shared" ref="FC30" si="2410">IF(AC30=CP30,0,1)</f>
        <v>1</v>
      </c>
      <c r="FD30" s="1">
        <f t="shared" ref="FD30" si="2411">IF(AD30=CQ30,0,1)</f>
        <v>1</v>
      </c>
      <c r="FE30" s="1">
        <f t="shared" ref="FE30" si="2412">IF(AE30=CR30,0,1)</f>
        <v>1</v>
      </c>
      <c r="FF30" s="1">
        <f t="shared" ref="FF30" si="2413">IF(AF30=CS30,0,1)</f>
        <v>0</v>
      </c>
      <c r="FG30" s="1">
        <f t="shared" ref="FG30" si="2414">IF(AG30=CT30,0,1)</f>
        <v>0</v>
      </c>
      <c r="FH30" s="1">
        <f t="shared" ref="FH30" si="2415">IF(AH30=CU30,0,1)</f>
        <v>0</v>
      </c>
      <c r="FI30" s="1">
        <f t="shared" ref="FI30" si="2416">IF(AI30=CV30,0,1)</f>
        <v>1</v>
      </c>
      <c r="FJ30" s="1">
        <f t="shared" ref="FJ30" si="2417">IF(AJ30=CW30,0,1)</f>
        <v>1</v>
      </c>
      <c r="FK30" s="1">
        <f t="shared" ref="FK30" si="2418">IF(AK30=CX30,0,1)</f>
        <v>1</v>
      </c>
      <c r="FL30" s="1">
        <f t="shared" ref="FL30" si="2419">IF(AL30=CY30,0,1)</f>
        <v>0</v>
      </c>
      <c r="FM30" s="1">
        <f t="shared" ref="FM30" si="2420">IF(AM30=CZ30,0,1)</f>
        <v>1</v>
      </c>
      <c r="FN30" s="1">
        <f t="shared" ref="FN30" si="2421">IF(AN30=DA30,0,1)</f>
        <v>1</v>
      </c>
      <c r="FO30" s="1">
        <f t="shared" ref="FO30" si="2422">IF(AO30=DB30,0,1)</f>
        <v>0</v>
      </c>
      <c r="FP30" s="1">
        <f t="shared" ref="FP30" si="2423">IF(AP30=DC30,0,1)</f>
        <v>1</v>
      </c>
      <c r="FQ30" s="1">
        <f t="shared" ref="FQ30" si="2424">IF(AQ30=DD30,0,1)</f>
        <v>0</v>
      </c>
      <c r="FR30" s="1">
        <f t="shared" ref="FR30" si="2425">IF(AR30=DE30,0,1)</f>
        <v>1</v>
      </c>
      <c r="FS30" s="1">
        <f t="shared" ref="FS30" si="2426">IF(AS30=DF30,0,1)</f>
        <v>1</v>
      </c>
      <c r="FT30" s="1">
        <f t="shared" ref="FT30" si="2427">IF(AT30=DG30,0,1)</f>
        <v>0</v>
      </c>
      <c r="FU30" s="1">
        <f t="shared" ref="FU30" si="2428">IF(AU30=DH30,0,1)</f>
        <v>0</v>
      </c>
      <c r="FV30" s="1">
        <f t="shared" ref="FV30" si="2429">IF(AV30=DI30,0,1)</f>
        <v>1</v>
      </c>
      <c r="FW30" s="1">
        <f t="shared" ref="FW30" si="2430">IF(AW30=DJ30,0,1)</f>
        <v>0</v>
      </c>
      <c r="FX30" s="1">
        <f t="shared" ref="FX30" si="2431">IF(AX30=DK30,0,1)</f>
        <v>0</v>
      </c>
      <c r="FY30" s="1">
        <f t="shared" ref="FY30" si="2432">IF(AY30=DL30,0,1)</f>
        <v>1</v>
      </c>
      <c r="FZ30" s="1">
        <f t="shared" ref="FZ30" si="2433">IF(AZ30=DM30,0,1)</f>
        <v>0</v>
      </c>
      <c r="GA30" s="1">
        <f t="shared" ref="GA30" si="2434">IF(BA30=DN30,0,1)</f>
        <v>0</v>
      </c>
      <c r="GB30" s="1">
        <f t="shared" ref="GB30" si="2435">IF(BB30=DO30,0,1)</f>
        <v>1</v>
      </c>
      <c r="GC30" s="1">
        <f t="shared" ref="GC30" si="2436">IF(BC30=DP30,0,1)</f>
        <v>0</v>
      </c>
      <c r="GD30" s="1">
        <f t="shared" ref="GD30" si="2437">IF(BD30=DQ30,0,1)</f>
        <v>1</v>
      </c>
      <c r="GE30" s="1">
        <f t="shared" ref="GE30" si="2438">IF(BE30=DR30,0,1)</f>
        <v>0</v>
      </c>
      <c r="GF30" s="1">
        <f t="shared" ref="GF30" si="2439">IF(BF30=DS30,0,1)</f>
        <v>0</v>
      </c>
      <c r="GG30" s="1">
        <f t="shared" ref="GG30" si="2440">IF(BG30=DT30,0,1)</f>
        <v>1</v>
      </c>
      <c r="GH30" s="1">
        <f t="shared" ref="GH30" si="2441">IF(BH30=DU30,0,1)</f>
        <v>1</v>
      </c>
      <c r="GI30" s="1">
        <f t="shared" ref="GI30" si="2442">IF(BI30=DV30,0,1)</f>
        <v>0</v>
      </c>
      <c r="GJ30" s="1">
        <f t="shared" ref="GJ30" si="2443">IF(BJ30=DW30,0,1)</f>
        <v>0</v>
      </c>
      <c r="GK30" s="1">
        <f t="shared" ref="GK30" si="2444">IF(BK30=DX30,0,1)</f>
        <v>1</v>
      </c>
      <c r="GL30" s="1">
        <f t="shared" ref="GL30" si="2445">IF(BL30=DY30,0,1)</f>
        <v>0</v>
      </c>
      <c r="GM30" s="1">
        <f t="shared" ref="GM30" si="2446">IF(BM30=DZ30,0,1)</f>
        <v>1</v>
      </c>
      <c r="GO30" s="27">
        <f>SUM(EB30:GM30)</f>
        <v>32</v>
      </c>
    </row>
    <row r="31" spans="1:205">
      <c r="A31" s="2">
        <v>14</v>
      </c>
      <c r="B31" t="str">
        <f>VLOOKUP(A31,MESSAGE,2,FALSE)</f>
        <v>0100100111111001100001110110100100101100001000110100100101110010</v>
      </c>
      <c r="BO31" t="str">
        <f>VLOOKUP(A31,MESSAGE, 4,FALSE)</f>
        <v>0100011110000101011000101010111101011110110001111100010011101110</v>
      </c>
    </row>
    <row r="32" spans="1:205">
      <c r="A32" s="2"/>
      <c r="B32" s="1" t="str">
        <f>MID($B31,B$1,1)</f>
        <v>0</v>
      </c>
      <c r="C32" s="1" t="str">
        <f t="shared" ref="C32" si="2447">MID($B31,C$1,1)</f>
        <v>1</v>
      </c>
      <c r="D32" s="1" t="str">
        <f t="shared" ref="D32" si="2448">MID($B31,D$1,1)</f>
        <v>0</v>
      </c>
      <c r="E32" s="1" t="str">
        <f t="shared" ref="E32" si="2449">MID($B31,E$1,1)</f>
        <v>0</v>
      </c>
      <c r="F32" s="1" t="str">
        <f t="shared" ref="F32" si="2450">MID($B31,F$1,1)</f>
        <v>1</v>
      </c>
      <c r="G32" s="1" t="str">
        <f t="shared" ref="G32" si="2451">MID($B31,G$1,1)</f>
        <v>0</v>
      </c>
      <c r="H32" s="1" t="str">
        <f t="shared" ref="H32" si="2452">MID($B31,H$1,1)</f>
        <v>0</v>
      </c>
      <c r="I32" s="1" t="str">
        <f t="shared" ref="I32" si="2453">MID($B31,I$1,1)</f>
        <v>1</v>
      </c>
      <c r="J32" s="1" t="str">
        <f t="shared" ref="J32" si="2454">MID($B31,J$1,1)</f>
        <v>1</v>
      </c>
      <c r="K32" s="1" t="str">
        <f t="shared" ref="K32" si="2455">MID($B31,K$1,1)</f>
        <v>1</v>
      </c>
      <c r="L32" s="1" t="str">
        <f t="shared" ref="L32" si="2456">MID($B31,L$1,1)</f>
        <v>1</v>
      </c>
      <c r="M32" s="1" t="str">
        <f t="shared" ref="M32" si="2457">MID($B31,M$1,1)</f>
        <v>1</v>
      </c>
      <c r="N32" s="1" t="str">
        <f t="shared" ref="N32" si="2458">MID($B31,N$1,1)</f>
        <v>1</v>
      </c>
      <c r="O32" s="1" t="str">
        <f t="shared" ref="O32" si="2459">MID($B31,O$1,1)</f>
        <v>0</v>
      </c>
      <c r="P32" s="1" t="str">
        <f t="shared" ref="P32" si="2460">MID($B31,P$1,1)</f>
        <v>0</v>
      </c>
      <c r="Q32" s="1" t="str">
        <f t="shared" ref="Q32" si="2461">MID($B31,Q$1,1)</f>
        <v>1</v>
      </c>
      <c r="R32" s="1" t="str">
        <f t="shared" ref="R32" si="2462">MID($B31,R$1,1)</f>
        <v>1</v>
      </c>
      <c r="S32" s="1" t="str">
        <f t="shared" ref="S32" si="2463">MID($B31,S$1,1)</f>
        <v>0</v>
      </c>
      <c r="T32" s="1" t="str">
        <f t="shared" ref="T32" si="2464">MID($B31,T$1,1)</f>
        <v>0</v>
      </c>
      <c r="U32" s="1" t="str">
        <f t="shared" ref="U32" si="2465">MID($B31,U$1,1)</f>
        <v>0</v>
      </c>
      <c r="V32" s="1" t="str">
        <f t="shared" ref="V32" si="2466">MID($B31,V$1,1)</f>
        <v>0</v>
      </c>
      <c r="W32" s="1" t="str">
        <f t="shared" ref="W32" si="2467">MID($B31,W$1,1)</f>
        <v>1</v>
      </c>
      <c r="X32" s="1" t="str">
        <f t="shared" ref="X32" si="2468">MID($B31,X$1,1)</f>
        <v>1</v>
      </c>
      <c r="Y32" s="1" t="str">
        <f t="shared" ref="Y32" si="2469">MID($B31,Y$1,1)</f>
        <v>1</v>
      </c>
      <c r="Z32" s="1" t="str">
        <f t="shared" ref="Z32" si="2470">MID($B31,Z$1,1)</f>
        <v>0</v>
      </c>
      <c r="AA32" s="1" t="str">
        <f t="shared" ref="AA32" si="2471">MID($B31,AA$1,1)</f>
        <v>1</v>
      </c>
      <c r="AB32" s="1" t="str">
        <f t="shared" ref="AB32" si="2472">MID($B31,AB$1,1)</f>
        <v>1</v>
      </c>
      <c r="AC32" s="1" t="str">
        <f t="shared" ref="AC32" si="2473">MID($B31,AC$1,1)</f>
        <v>0</v>
      </c>
      <c r="AD32" s="1" t="str">
        <f t="shared" ref="AD32" si="2474">MID($B31,AD$1,1)</f>
        <v>1</v>
      </c>
      <c r="AE32" s="1" t="str">
        <f t="shared" ref="AE32" si="2475">MID($B31,AE$1,1)</f>
        <v>0</v>
      </c>
      <c r="AF32" s="1" t="str">
        <f t="shared" ref="AF32" si="2476">MID($B31,AF$1,1)</f>
        <v>0</v>
      </c>
      <c r="AG32" s="1" t="str">
        <f t="shared" ref="AG32" si="2477">MID($B31,AG$1,1)</f>
        <v>1</v>
      </c>
      <c r="AH32" s="1" t="str">
        <f t="shared" ref="AH32" si="2478">MID($B31,AH$1,1)</f>
        <v>0</v>
      </c>
      <c r="AI32" s="1" t="str">
        <f t="shared" ref="AI32" si="2479">MID($B31,AI$1,1)</f>
        <v>0</v>
      </c>
      <c r="AJ32" s="1" t="str">
        <f t="shared" ref="AJ32" si="2480">MID($B31,AJ$1,1)</f>
        <v>1</v>
      </c>
      <c r="AK32" s="1" t="str">
        <f t="shared" ref="AK32" si="2481">MID($B31,AK$1,1)</f>
        <v>0</v>
      </c>
      <c r="AL32" s="1" t="str">
        <f t="shared" ref="AL32" si="2482">MID($B31,AL$1,1)</f>
        <v>1</v>
      </c>
      <c r="AM32" s="1" t="str">
        <f t="shared" ref="AM32" si="2483">MID($B31,AM$1,1)</f>
        <v>1</v>
      </c>
      <c r="AN32" s="1" t="str">
        <f t="shared" ref="AN32" si="2484">MID($B31,AN$1,1)</f>
        <v>0</v>
      </c>
      <c r="AO32" s="1" t="str">
        <f t="shared" ref="AO32" si="2485">MID($B31,AO$1,1)</f>
        <v>0</v>
      </c>
      <c r="AP32" s="1" t="str">
        <f t="shared" ref="AP32" si="2486">MID($B31,AP$1,1)</f>
        <v>0</v>
      </c>
      <c r="AQ32" s="1" t="str">
        <f t="shared" ref="AQ32" si="2487">MID($B31,AQ$1,1)</f>
        <v>0</v>
      </c>
      <c r="AR32" s="1" t="str">
        <f t="shared" ref="AR32" si="2488">MID($B31,AR$1,1)</f>
        <v>1</v>
      </c>
      <c r="AS32" s="1" t="str">
        <f t="shared" ref="AS32" si="2489">MID($B31,AS$1,1)</f>
        <v>0</v>
      </c>
      <c r="AT32" s="1" t="str">
        <f t="shared" ref="AT32" si="2490">MID($B31,AT$1,1)</f>
        <v>0</v>
      </c>
      <c r="AU32" s="1" t="str">
        <f t="shared" ref="AU32" si="2491">MID($B31,AU$1,1)</f>
        <v>0</v>
      </c>
      <c r="AV32" s="1" t="str">
        <f t="shared" ref="AV32" si="2492">MID($B31,AV$1,1)</f>
        <v>1</v>
      </c>
      <c r="AW32" s="1" t="str">
        <f t="shared" ref="AW32" si="2493">MID($B31,AW$1,1)</f>
        <v>1</v>
      </c>
      <c r="AX32" s="1" t="str">
        <f t="shared" ref="AX32" si="2494">MID($B31,AX$1,1)</f>
        <v>0</v>
      </c>
      <c r="AY32" s="1" t="str">
        <f t="shared" ref="AY32" si="2495">MID($B31,AY$1,1)</f>
        <v>1</v>
      </c>
      <c r="AZ32" s="1" t="str">
        <f t="shared" ref="AZ32" si="2496">MID($B31,AZ$1,1)</f>
        <v>0</v>
      </c>
      <c r="BA32" s="1" t="str">
        <f t="shared" ref="BA32" si="2497">MID($B31,BA$1,1)</f>
        <v>0</v>
      </c>
      <c r="BB32" s="1" t="str">
        <f t="shared" ref="BB32" si="2498">MID($B31,BB$1,1)</f>
        <v>1</v>
      </c>
      <c r="BC32" s="1" t="str">
        <f t="shared" ref="BC32" si="2499">MID($B31,BC$1,1)</f>
        <v>0</v>
      </c>
      <c r="BD32" s="1" t="str">
        <f t="shared" ref="BD32" si="2500">MID($B31,BD$1,1)</f>
        <v>0</v>
      </c>
      <c r="BE32" s="1" t="str">
        <f t="shared" ref="BE32" si="2501">MID($B31,BE$1,1)</f>
        <v>1</v>
      </c>
      <c r="BF32" s="1" t="str">
        <f t="shared" ref="BF32" si="2502">MID($B31,BF$1,1)</f>
        <v>0</v>
      </c>
      <c r="BG32" s="1" t="str">
        <f t="shared" ref="BG32" si="2503">MID($B31,BG$1,1)</f>
        <v>1</v>
      </c>
      <c r="BH32" s="1" t="str">
        <f t="shared" ref="BH32" si="2504">MID($B31,BH$1,1)</f>
        <v>1</v>
      </c>
      <c r="BI32" s="1" t="str">
        <f t="shared" ref="BI32" si="2505">MID($B31,BI$1,1)</f>
        <v>1</v>
      </c>
      <c r="BJ32" s="1" t="str">
        <f t="shared" ref="BJ32" si="2506">MID($B31,BJ$1,1)</f>
        <v>0</v>
      </c>
      <c r="BK32" s="1" t="str">
        <f t="shared" ref="BK32" si="2507">MID($B31,BK$1,1)</f>
        <v>0</v>
      </c>
      <c r="BL32" s="1" t="str">
        <f t="shared" ref="BL32" si="2508">MID($B31,BL$1,1)</f>
        <v>1</v>
      </c>
      <c r="BM32" s="1" t="str">
        <f t="shared" ref="BM32" si="2509">MID($B31,BM$1,1)</f>
        <v>0</v>
      </c>
      <c r="BN32" s="1"/>
      <c r="BO32" s="1" t="str">
        <f>MID($BO31,BO$1,1)</f>
        <v>0</v>
      </c>
      <c r="BP32" s="1" t="str">
        <f t="shared" ref="BP32" si="2510">MID($BO31,BP$1,1)</f>
        <v>1</v>
      </c>
      <c r="BQ32" s="1" t="str">
        <f t="shared" ref="BQ32" si="2511">MID($BO31,BQ$1,1)</f>
        <v>0</v>
      </c>
      <c r="BR32" s="1" t="str">
        <f t="shared" ref="BR32" si="2512">MID($BO31,BR$1,1)</f>
        <v>0</v>
      </c>
      <c r="BS32" s="1" t="str">
        <f t="shared" ref="BS32" si="2513">MID($BO31,BS$1,1)</f>
        <v>0</v>
      </c>
      <c r="BT32" s="1" t="str">
        <f t="shared" ref="BT32" si="2514">MID($BO31,BT$1,1)</f>
        <v>1</v>
      </c>
      <c r="BU32" s="1" t="str">
        <f t="shared" ref="BU32" si="2515">MID($BO31,BU$1,1)</f>
        <v>1</v>
      </c>
      <c r="BV32" s="1" t="str">
        <f t="shared" ref="BV32" si="2516">MID($BO31,BV$1,1)</f>
        <v>1</v>
      </c>
      <c r="BW32" s="1" t="str">
        <f t="shared" ref="BW32" si="2517">MID($BO31,BW$1,1)</f>
        <v>1</v>
      </c>
      <c r="BX32" s="1" t="str">
        <f t="shared" ref="BX32" si="2518">MID($BO31,BX$1,1)</f>
        <v>0</v>
      </c>
      <c r="BY32" s="1" t="str">
        <f t="shared" ref="BY32" si="2519">MID($BO31,BY$1,1)</f>
        <v>0</v>
      </c>
      <c r="BZ32" s="1" t="str">
        <f t="shared" ref="BZ32" si="2520">MID($BO31,BZ$1,1)</f>
        <v>0</v>
      </c>
      <c r="CA32" s="1" t="str">
        <f t="shared" ref="CA32" si="2521">MID($BO31,CA$1,1)</f>
        <v>0</v>
      </c>
      <c r="CB32" s="1" t="str">
        <f t="shared" ref="CB32" si="2522">MID($BO31,CB$1,1)</f>
        <v>1</v>
      </c>
      <c r="CC32" s="1" t="str">
        <f t="shared" ref="CC32" si="2523">MID($BO31,CC$1,1)</f>
        <v>0</v>
      </c>
      <c r="CD32" s="1" t="str">
        <f t="shared" ref="CD32" si="2524">MID($BO31,CD$1,1)</f>
        <v>1</v>
      </c>
      <c r="CE32" s="1" t="str">
        <f t="shared" ref="CE32" si="2525">MID($BO31,CE$1,1)</f>
        <v>0</v>
      </c>
      <c r="CF32" s="1" t="str">
        <f t="shared" ref="CF32" si="2526">MID($BO31,CF$1,1)</f>
        <v>1</v>
      </c>
      <c r="CG32" s="1" t="str">
        <f t="shared" ref="CG32" si="2527">MID($BO31,CG$1,1)</f>
        <v>1</v>
      </c>
      <c r="CH32" s="1" t="str">
        <f t="shared" ref="CH32" si="2528">MID($BO31,CH$1,1)</f>
        <v>0</v>
      </c>
      <c r="CI32" s="1" t="str">
        <f t="shared" ref="CI32" si="2529">MID($BO31,CI$1,1)</f>
        <v>0</v>
      </c>
      <c r="CJ32" s="1" t="str">
        <f t="shared" ref="CJ32" si="2530">MID($BO31,CJ$1,1)</f>
        <v>0</v>
      </c>
      <c r="CK32" s="1" t="str">
        <f t="shared" ref="CK32" si="2531">MID($BO31,CK$1,1)</f>
        <v>1</v>
      </c>
      <c r="CL32" s="1" t="str">
        <f t="shared" ref="CL32" si="2532">MID($BO31,CL$1,1)</f>
        <v>0</v>
      </c>
      <c r="CM32" s="1" t="str">
        <f t="shared" ref="CM32" si="2533">MID($BO31,CM$1,1)</f>
        <v>1</v>
      </c>
      <c r="CN32" s="1" t="str">
        <f t="shared" ref="CN32" si="2534">MID($BO31,CN$1,1)</f>
        <v>0</v>
      </c>
      <c r="CO32" s="1" t="str">
        <f t="shared" ref="CO32" si="2535">MID($BO31,CO$1,1)</f>
        <v>1</v>
      </c>
      <c r="CP32" s="1" t="str">
        <f t="shared" ref="CP32" si="2536">MID($BO31,CP$1,1)</f>
        <v>0</v>
      </c>
      <c r="CQ32" s="1" t="str">
        <f t="shared" ref="CQ32" si="2537">MID($BO31,CQ$1,1)</f>
        <v>1</v>
      </c>
      <c r="CR32" s="1" t="str">
        <f t="shared" ref="CR32" si="2538">MID($BO31,CR$1,1)</f>
        <v>1</v>
      </c>
      <c r="CS32" s="1" t="str">
        <f t="shared" ref="CS32" si="2539">MID($BO31,CS$1,1)</f>
        <v>1</v>
      </c>
      <c r="CT32" s="1" t="str">
        <f t="shared" ref="CT32" si="2540">MID($BO31,CT$1,1)</f>
        <v>1</v>
      </c>
      <c r="CU32" s="1" t="str">
        <f t="shared" ref="CU32" si="2541">MID($BO31,CU$1,1)</f>
        <v>0</v>
      </c>
      <c r="CV32" s="1" t="str">
        <f t="shared" ref="CV32" si="2542">MID($BO31,CV$1,1)</f>
        <v>1</v>
      </c>
      <c r="CW32" s="1" t="str">
        <f t="shared" ref="CW32" si="2543">MID($BO31,CW$1,1)</f>
        <v>0</v>
      </c>
      <c r="CX32" s="1" t="str">
        <f t="shared" ref="CX32" si="2544">MID($BO31,CX$1,1)</f>
        <v>1</v>
      </c>
      <c r="CY32" s="1" t="str">
        <f t="shared" ref="CY32" si="2545">MID($BO31,CY$1,1)</f>
        <v>1</v>
      </c>
      <c r="CZ32" s="1" t="str">
        <f t="shared" ref="CZ32" si="2546">MID($BO31,CZ$1,1)</f>
        <v>1</v>
      </c>
      <c r="DA32" s="1" t="str">
        <f t="shared" ref="DA32" si="2547">MID($BO31,DA$1,1)</f>
        <v>1</v>
      </c>
      <c r="DB32" s="1" t="str">
        <f t="shared" ref="DB32" si="2548">MID($BO31,DB$1,1)</f>
        <v>0</v>
      </c>
      <c r="DC32" s="1" t="str">
        <f t="shared" ref="DC32" si="2549">MID($BO31,DC$1,1)</f>
        <v>1</v>
      </c>
      <c r="DD32" s="1" t="str">
        <f t="shared" ref="DD32" si="2550">MID($BO31,DD$1,1)</f>
        <v>1</v>
      </c>
      <c r="DE32" s="1" t="str">
        <f t="shared" ref="DE32" si="2551">MID($BO31,DE$1,1)</f>
        <v>0</v>
      </c>
      <c r="DF32" s="1" t="str">
        <f t="shared" ref="DF32" si="2552">MID($BO31,DF$1,1)</f>
        <v>0</v>
      </c>
      <c r="DG32" s="1" t="str">
        <f t="shared" ref="DG32" si="2553">MID($BO31,DG$1,1)</f>
        <v>0</v>
      </c>
      <c r="DH32" s="1" t="str">
        <f t="shared" ref="DH32" si="2554">MID($BO31,DH$1,1)</f>
        <v>1</v>
      </c>
      <c r="DI32" s="1" t="str">
        <f t="shared" ref="DI32" si="2555">MID($BO31,DI$1,1)</f>
        <v>1</v>
      </c>
      <c r="DJ32" s="1" t="str">
        <f t="shared" ref="DJ32" si="2556">MID($BO31,DJ$1,1)</f>
        <v>1</v>
      </c>
      <c r="DK32" s="1" t="str">
        <f t="shared" ref="DK32" si="2557">MID($BO31,DK$1,1)</f>
        <v>1</v>
      </c>
      <c r="DL32" s="1" t="str">
        <f t="shared" ref="DL32" si="2558">MID($BO31,DL$1,1)</f>
        <v>1</v>
      </c>
      <c r="DM32" s="1" t="str">
        <f t="shared" ref="DM32" si="2559">MID($BO31,DM$1,1)</f>
        <v>0</v>
      </c>
      <c r="DN32" s="1" t="str">
        <f t="shared" ref="DN32" si="2560">MID($BO31,DN$1,1)</f>
        <v>0</v>
      </c>
      <c r="DO32" s="1" t="str">
        <f t="shared" ref="DO32" si="2561">MID($BO31,DO$1,1)</f>
        <v>0</v>
      </c>
      <c r="DP32" s="1" t="str">
        <f t="shared" ref="DP32" si="2562">MID($BO31,DP$1,1)</f>
        <v>1</v>
      </c>
      <c r="DQ32" s="1" t="str">
        <f t="shared" ref="DQ32" si="2563">MID($BO31,DQ$1,1)</f>
        <v>0</v>
      </c>
      <c r="DR32" s="1" t="str">
        <f t="shared" ref="DR32" si="2564">MID($BO31,DR$1,1)</f>
        <v>0</v>
      </c>
      <c r="DS32" s="1" t="str">
        <f t="shared" ref="DS32" si="2565">MID($BO31,DS$1,1)</f>
        <v>1</v>
      </c>
      <c r="DT32" s="1" t="str">
        <f t="shared" ref="DT32" si="2566">MID($BO31,DT$1,1)</f>
        <v>1</v>
      </c>
      <c r="DU32" s="1" t="str">
        <f t="shared" ref="DU32" si="2567">MID($BO31,DU$1,1)</f>
        <v>1</v>
      </c>
      <c r="DV32" s="1" t="str">
        <f t="shared" ref="DV32" si="2568">MID($BO31,DV$1,1)</f>
        <v>0</v>
      </c>
      <c r="DW32" s="1" t="str">
        <f t="shared" ref="DW32" si="2569">MID($BO31,DW$1,1)</f>
        <v>1</v>
      </c>
      <c r="DX32" s="1" t="str">
        <f t="shared" ref="DX32" si="2570">MID($BO31,DX$1,1)</f>
        <v>1</v>
      </c>
      <c r="DY32" s="1" t="str">
        <f t="shared" ref="DY32" si="2571">MID($BO31,DY$1,1)</f>
        <v>1</v>
      </c>
      <c r="DZ32" s="1" t="str">
        <f t="shared" ref="DZ32" si="2572">MID($BO31,DZ$1,1)</f>
        <v>0</v>
      </c>
      <c r="EB32" s="1">
        <f>IF(B32=BO32,0,1)</f>
        <v>0</v>
      </c>
      <c r="EC32" s="1">
        <f>IF(C32=BP32,0,1)</f>
        <v>0</v>
      </c>
      <c r="ED32" s="1">
        <f t="shared" ref="ED32" si="2573">IF(D32=BQ32,0,1)</f>
        <v>0</v>
      </c>
      <c r="EE32" s="1">
        <f t="shared" ref="EE32" si="2574">IF(E32=BR32,0,1)</f>
        <v>0</v>
      </c>
      <c r="EF32" s="1">
        <f t="shared" ref="EF32" si="2575">IF(F32=BS32,0,1)</f>
        <v>1</v>
      </c>
      <c r="EG32" s="1">
        <f t="shared" ref="EG32" si="2576">IF(G32=BT32,0,1)</f>
        <v>1</v>
      </c>
      <c r="EH32" s="1">
        <f t="shared" ref="EH32" si="2577">IF(H32=BU32,0,1)</f>
        <v>1</v>
      </c>
      <c r="EI32" s="1">
        <f t="shared" ref="EI32" si="2578">IF(I32=BV32,0,1)</f>
        <v>0</v>
      </c>
      <c r="EJ32" s="1">
        <f t="shared" ref="EJ32" si="2579">IF(J32=BW32,0,1)</f>
        <v>0</v>
      </c>
      <c r="EK32" s="1">
        <f t="shared" ref="EK32" si="2580">IF(K32=BX32,0,1)</f>
        <v>1</v>
      </c>
      <c r="EL32" s="1">
        <f t="shared" ref="EL32" si="2581">IF(L32=BY32,0,1)</f>
        <v>1</v>
      </c>
      <c r="EM32" s="1">
        <f t="shared" ref="EM32" si="2582">IF(M32=BZ32,0,1)</f>
        <v>1</v>
      </c>
      <c r="EN32" s="1">
        <f t="shared" ref="EN32" si="2583">IF(N32=CA32,0,1)</f>
        <v>1</v>
      </c>
      <c r="EO32" s="1">
        <f t="shared" ref="EO32" si="2584">IF(O32=CB32,0,1)</f>
        <v>1</v>
      </c>
      <c r="EP32" s="1">
        <f t="shared" ref="EP32" si="2585">IF(P32=CC32,0,1)</f>
        <v>0</v>
      </c>
      <c r="EQ32" s="1">
        <f t="shared" ref="EQ32" si="2586">IF(Q32=CD32,0,1)</f>
        <v>0</v>
      </c>
      <c r="ER32" s="1">
        <f t="shared" ref="ER32" si="2587">IF(R32=CE32,0,1)</f>
        <v>1</v>
      </c>
      <c r="ES32" s="1">
        <f t="shared" ref="ES32" si="2588">IF(S32=CF32,0,1)</f>
        <v>1</v>
      </c>
      <c r="ET32" s="1">
        <f t="shared" ref="ET32" si="2589">IF(T32=CG32,0,1)</f>
        <v>1</v>
      </c>
      <c r="EU32" s="1">
        <f t="shared" ref="EU32" si="2590">IF(U32=CH32,0,1)</f>
        <v>0</v>
      </c>
      <c r="EV32" s="1">
        <f t="shared" ref="EV32" si="2591">IF(V32=CI32,0,1)</f>
        <v>0</v>
      </c>
      <c r="EW32" s="1">
        <f t="shared" ref="EW32" si="2592">IF(W32=CJ32,0,1)</f>
        <v>1</v>
      </c>
      <c r="EX32" s="1">
        <f t="shared" ref="EX32" si="2593">IF(X32=CK32,0,1)</f>
        <v>0</v>
      </c>
      <c r="EY32" s="1">
        <f t="shared" ref="EY32" si="2594">IF(Y32=CL32,0,1)</f>
        <v>1</v>
      </c>
      <c r="EZ32" s="1">
        <f t="shared" ref="EZ32" si="2595">IF(Z32=CM32,0,1)</f>
        <v>1</v>
      </c>
      <c r="FA32" s="1">
        <f t="shared" ref="FA32" si="2596">IF(AA32=CN32,0,1)</f>
        <v>1</v>
      </c>
      <c r="FB32" s="1">
        <f t="shared" ref="FB32" si="2597">IF(AB32=CO32,0,1)</f>
        <v>0</v>
      </c>
      <c r="FC32" s="1">
        <f t="shared" ref="FC32" si="2598">IF(AC32=CP32,0,1)</f>
        <v>0</v>
      </c>
      <c r="FD32" s="1">
        <f t="shared" ref="FD32" si="2599">IF(AD32=CQ32,0,1)</f>
        <v>0</v>
      </c>
      <c r="FE32" s="1">
        <f t="shared" ref="FE32" si="2600">IF(AE32=CR32,0,1)</f>
        <v>1</v>
      </c>
      <c r="FF32" s="1">
        <f t="shared" ref="FF32" si="2601">IF(AF32=CS32,0,1)</f>
        <v>1</v>
      </c>
      <c r="FG32" s="1">
        <f t="shared" ref="FG32" si="2602">IF(AG32=CT32,0,1)</f>
        <v>0</v>
      </c>
      <c r="FH32" s="1">
        <f t="shared" ref="FH32" si="2603">IF(AH32=CU32,0,1)</f>
        <v>0</v>
      </c>
      <c r="FI32" s="1">
        <f t="shared" ref="FI32" si="2604">IF(AI32=CV32,0,1)</f>
        <v>1</v>
      </c>
      <c r="FJ32" s="1">
        <f t="shared" ref="FJ32" si="2605">IF(AJ32=CW32,0,1)</f>
        <v>1</v>
      </c>
      <c r="FK32" s="1">
        <f t="shared" ref="FK32" si="2606">IF(AK32=CX32,0,1)</f>
        <v>1</v>
      </c>
      <c r="FL32" s="1">
        <f t="shared" ref="FL32" si="2607">IF(AL32=CY32,0,1)</f>
        <v>0</v>
      </c>
      <c r="FM32" s="1">
        <f t="shared" ref="FM32" si="2608">IF(AM32=CZ32,0,1)</f>
        <v>0</v>
      </c>
      <c r="FN32" s="1">
        <f t="shared" ref="FN32" si="2609">IF(AN32=DA32,0,1)</f>
        <v>1</v>
      </c>
      <c r="FO32" s="1">
        <f t="shared" ref="FO32" si="2610">IF(AO32=DB32,0,1)</f>
        <v>0</v>
      </c>
      <c r="FP32" s="1">
        <f t="shared" ref="FP32" si="2611">IF(AP32=DC32,0,1)</f>
        <v>1</v>
      </c>
      <c r="FQ32" s="1">
        <f t="shared" ref="FQ32" si="2612">IF(AQ32=DD32,0,1)</f>
        <v>1</v>
      </c>
      <c r="FR32" s="1">
        <f t="shared" ref="FR32" si="2613">IF(AR32=DE32,0,1)</f>
        <v>1</v>
      </c>
      <c r="FS32" s="1">
        <f t="shared" ref="FS32" si="2614">IF(AS32=DF32,0,1)</f>
        <v>0</v>
      </c>
      <c r="FT32" s="1">
        <f t="shared" ref="FT32" si="2615">IF(AT32=DG32,0,1)</f>
        <v>0</v>
      </c>
      <c r="FU32" s="1">
        <f t="shared" ref="FU32" si="2616">IF(AU32=DH32,0,1)</f>
        <v>1</v>
      </c>
      <c r="FV32" s="1">
        <f t="shared" ref="FV32" si="2617">IF(AV32=DI32,0,1)</f>
        <v>0</v>
      </c>
      <c r="FW32" s="1">
        <f t="shared" ref="FW32" si="2618">IF(AW32=DJ32,0,1)</f>
        <v>0</v>
      </c>
      <c r="FX32" s="1">
        <f t="shared" ref="FX32" si="2619">IF(AX32=DK32,0,1)</f>
        <v>1</v>
      </c>
      <c r="FY32" s="1">
        <f t="shared" ref="FY32" si="2620">IF(AY32=DL32,0,1)</f>
        <v>0</v>
      </c>
      <c r="FZ32" s="1">
        <f t="shared" ref="FZ32" si="2621">IF(AZ32=DM32,0,1)</f>
        <v>0</v>
      </c>
      <c r="GA32" s="1">
        <f t="shared" ref="GA32" si="2622">IF(BA32=DN32,0,1)</f>
        <v>0</v>
      </c>
      <c r="GB32" s="1">
        <f t="shared" ref="GB32" si="2623">IF(BB32=DO32,0,1)</f>
        <v>1</v>
      </c>
      <c r="GC32" s="1">
        <f t="shared" ref="GC32" si="2624">IF(BC32=DP32,0,1)</f>
        <v>1</v>
      </c>
      <c r="GD32" s="1">
        <f t="shared" ref="GD32" si="2625">IF(BD32=DQ32,0,1)</f>
        <v>0</v>
      </c>
      <c r="GE32" s="1">
        <f t="shared" ref="GE32" si="2626">IF(BE32=DR32,0,1)</f>
        <v>1</v>
      </c>
      <c r="GF32" s="1">
        <f t="shared" ref="GF32" si="2627">IF(BF32=DS32,0,1)</f>
        <v>1</v>
      </c>
      <c r="GG32" s="1">
        <f t="shared" ref="GG32" si="2628">IF(BG32=DT32,0,1)</f>
        <v>0</v>
      </c>
      <c r="GH32" s="1">
        <f t="shared" ref="GH32" si="2629">IF(BH32=DU32,0,1)</f>
        <v>0</v>
      </c>
      <c r="GI32" s="1">
        <f t="shared" ref="GI32" si="2630">IF(BI32=DV32,0,1)</f>
        <v>1</v>
      </c>
      <c r="GJ32" s="1">
        <f t="shared" ref="GJ32" si="2631">IF(BJ32=DW32,0,1)</f>
        <v>1</v>
      </c>
      <c r="GK32" s="1">
        <f t="shared" ref="GK32" si="2632">IF(BK32=DX32,0,1)</f>
        <v>1</v>
      </c>
      <c r="GL32" s="1">
        <f t="shared" ref="GL32" si="2633">IF(BL32=DY32,0,1)</f>
        <v>0</v>
      </c>
      <c r="GM32" s="1">
        <f t="shared" ref="GM32" si="2634">IF(BM32=DZ32,0,1)</f>
        <v>0</v>
      </c>
      <c r="GO32" s="27">
        <f>SUM(EB32:GM32)</f>
        <v>33</v>
      </c>
    </row>
    <row r="33" spans="1:197">
      <c r="A33" s="2">
        <v>15</v>
      </c>
      <c r="B33" t="str">
        <f>VLOOKUP(A33,MESSAGE,2,FALSE)</f>
        <v>0000110100111101011000100001101001001001111110011000011101101001</v>
      </c>
      <c r="BO33" t="str">
        <f>VLOOKUP(A33,MESSAGE, 4,FALSE)</f>
        <v>1110011001100000101100001100001101000111100001010110001010101111</v>
      </c>
    </row>
    <row r="34" spans="1:197">
      <c r="A34" s="2"/>
      <c r="B34" s="1" t="str">
        <f>MID($B33,B$1,1)</f>
        <v>0</v>
      </c>
      <c r="C34" s="1" t="str">
        <f t="shared" ref="C34" si="2635">MID($B33,C$1,1)</f>
        <v>0</v>
      </c>
      <c r="D34" s="1" t="str">
        <f t="shared" ref="D34" si="2636">MID($B33,D$1,1)</f>
        <v>0</v>
      </c>
      <c r="E34" s="1" t="str">
        <f t="shared" ref="E34" si="2637">MID($B33,E$1,1)</f>
        <v>0</v>
      </c>
      <c r="F34" s="1" t="str">
        <f t="shared" ref="F34" si="2638">MID($B33,F$1,1)</f>
        <v>1</v>
      </c>
      <c r="G34" s="1" t="str">
        <f t="shared" ref="G34" si="2639">MID($B33,G$1,1)</f>
        <v>1</v>
      </c>
      <c r="H34" s="1" t="str">
        <f t="shared" ref="H34" si="2640">MID($B33,H$1,1)</f>
        <v>0</v>
      </c>
      <c r="I34" s="1" t="str">
        <f t="shared" ref="I34" si="2641">MID($B33,I$1,1)</f>
        <v>1</v>
      </c>
      <c r="J34" s="1" t="str">
        <f t="shared" ref="J34" si="2642">MID($B33,J$1,1)</f>
        <v>0</v>
      </c>
      <c r="K34" s="1" t="str">
        <f t="shared" ref="K34" si="2643">MID($B33,K$1,1)</f>
        <v>0</v>
      </c>
      <c r="L34" s="1" t="str">
        <f t="shared" ref="L34" si="2644">MID($B33,L$1,1)</f>
        <v>1</v>
      </c>
      <c r="M34" s="1" t="str">
        <f t="shared" ref="M34" si="2645">MID($B33,M$1,1)</f>
        <v>1</v>
      </c>
      <c r="N34" s="1" t="str">
        <f t="shared" ref="N34" si="2646">MID($B33,N$1,1)</f>
        <v>1</v>
      </c>
      <c r="O34" s="1" t="str">
        <f t="shared" ref="O34" si="2647">MID($B33,O$1,1)</f>
        <v>1</v>
      </c>
      <c r="P34" s="1" t="str">
        <f t="shared" ref="P34" si="2648">MID($B33,P$1,1)</f>
        <v>0</v>
      </c>
      <c r="Q34" s="1" t="str">
        <f t="shared" ref="Q34" si="2649">MID($B33,Q$1,1)</f>
        <v>1</v>
      </c>
      <c r="R34" s="1" t="str">
        <f t="shared" ref="R34" si="2650">MID($B33,R$1,1)</f>
        <v>0</v>
      </c>
      <c r="S34" s="1" t="str">
        <f t="shared" ref="S34" si="2651">MID($B33,S$1,1)</f>
        <v>1</v>
      </c>
      <c r="T34" s="1" t="str">
        <f t="shared" ref="T34" si="2652">MID($B33,T$1,1)</f>
        <v>1</v>
      </c>
      <c r="U34" s="1" t="str">
        <f t="shared" ref="U34" si="2653">MID($B33,U$1,1)</f>
        <v>0</v>
      </c>
      <c r="V34" s="1" t="str">
        <f t="shared" ref="V34" si="2654">MID($B33,V$1,1)</f>
        <v>0</v>
      </c>
      <c r="W34" s="1" t="str">
        <f t="shared" ref="W34" si="2655">MID($B33,W$1,1)</f>
        <v>0</v>
      </c>
      <c r="X34" s="1" t="str">
        <f t="shared" ref="X34" si="2656">MID($B33,X$1,1)</f>
        <v>1</v>
      </c>
      <c r="Y34" s="1" t="str">
        <f t="shared" ref="Y34" si="2657">MID($B33,Y$1,1)</f>
        <v>0</v>
      </c>
      <c r="Z34" s="1" t="str">
        <f t="shared" ref="Z34" si="2658">MID($B33,Z$1,1)</f>
        <v>0</v>
      </c>
      <c r="AA34" s="1" t="str">
        <f t="shared" ref="AA34" si="2659">MID($B33,AA$1,1)</f>
        <v>0</v>
      </c>
      <c r="AB34" s="1" t="str">
        <f t="shared" ref="AB34" si="2660">MID($B33,AB$1,1)</f>
        <v>0</v>
      </c>
      <c r="AC34" s="1" t="str">
        <f t="shared" ref="AC34" si="2661">MID($B33,AC$1,1)</f>
        <v>1</v>
      </c>
      <c r="AD34" s="1" t="str">
        <f t="shared" ref="AD34" si="2662">MID($B33,AD$1,1)</f>
        <v>1</v>
      </c>
      <c r="AE34" s="1" t="str">
        <f t="shared" ref="AE34" si="2663">MID($B33,AE$1,1)</f>
        <v>0</v>
      </c>
      <c r="AF34" s="1" t="str">
        <f t="shared" ref="AF34" si="2664">MID($B33,AF$1,1)</f>
        <v>1</v>
      </c>
      <c r="AG34" s="1" t="str">
        <f t="shared" ref="AG34" si="2665">MID($B33,AG$1,1)</f>
        <v>0</v>
      </c>
      <c r="AH34" s="1" t="str">
        <f t="shared" ref="AH34" si="2666">MID($B33,AH$1,1)</f>
        <v>0</v>
      </c>
      <c r="AI34" s="1" t="str">
        <f t="shared" ref="AI34" si="2667">MID($B33,AI$1,1)</f>
        <v>1</v>
      </c>
      <c r="AJ34" s="1" t="str">
        <f t="shared" ref="AJ34" si="2668">MID($B33,AJ$1,1)</f>
        <v>0</v>
      </c>
      <c r="AK34" s="1" t="str">
        <f t="shared" ref="AK34" si="2669">MID($B33,AK$1,1)</f>
        <v>0</v>
      </c>
      <c r="AL34" s="1" t="str">
        <f t="shared" ref="AL34" si="2670">MID($B33,AL$1,1)</f>
        <v>1</v>
      </c>
      <c r="AM34" s="1" t="str">
        <f t="shared" ref="AM34" si="2671">MID($B33,AM$1,1)</f>
        <v>0</v>
      </c>
      <c r="AN34" s="1" t="str">
        <f t="shared" ref="AN34" si="2672">MID($B33,AN$1,1)</f>
        <v>0</v>
      </c>
      <c r="AO34" s="1" t="str">
        <f t="shared" ref="AO34" si="2673">MID($B33,AO$1,1)</f>
        <v>1</v>
      </c>
      <c r="AP34" s="1" t="str">
        <f t="shared" ref="AP34" si="2674">MID($B33,AP$1,1)</f>
        <v>1</v>
      </c>
      <c r="AQ34" s="1" t="str">
        <f t="shared" ref="AQ34" si="2675">MID($B33,AQ$1,1)</f>
        <v>1</v>
      </c>
      <c r="AR34" s="1" t="str">
        <f t="shared" ref="AR34" si="2676">MID($B33,AR$1,1)</f>
        <v>1</v>
      </c>
      <c r="AS34" s="1" t="str">
        <f t="shared" ref="AS34" si="2677">MID($B33,AS$1,1)</f>
        <v>1</v>
      </c>
      <c r="AT34" s="1" t="str">
        <f t="shared" ref="AT34" si="2678">MID($B33,AT$1,1)</f>
        <v>1</v>
      </c>
      <c r="AU34" s="1" t="str">
        <f t="shared" ref="AU34" si="2679">MID($B33,AU$1,1)</f>
        <v>0</v>
      </c>
      <c r="AV34" s="1" t="str">
        <f t="shared" ref="AV34" si="2680">MID($B33,AV$1,1)</f>
        <v>0</v>
      </c>
      <c r="AW34" s="1" t="str">
        <f t="shared" ref="AW34" si="2681">MID($B33,AW$1,1)</f>
        <v>1</v>
      </c>
      <c r="AX34" s="1" t="str">
        <f t="shared" ref="AX34" si="2682">MID($B33,AX$1,1)</f>
        <v>1</v>
      </c>
      <c r="AY34" s="1" t="str">
        <f t="shared" ref="AY34" si="2683">MID($B33,AY$1,1)</f>
        <v>0</v>
      </c>
      <c r="AZ34" s="1" t="str">
        <f t="shared" ref="AZ34" si="2684">MID($B33,AZ$1,1)</f>
        <v>0</v>
      </c>
      <c r="BA34" s="1" t="str">
        <f t="shared" ref="BA34" si="2685">MID($B33,BA$1,1)</f>
        <v>0</v>
      </c>
      <c r="BB34" s="1" t="str">
        <f t="shared" ref="BB34" si="2686">MID($B33,BB$1,1)</f>
        <v>0</v>
      </c>
      <c r="BC34" s="1" t="str">
        <f t="shared" ref="BC34" si="2687">MID($B33,BC$1,1)</f>
        <v>1</v>
      </c>
      <c r="BD34" s="1" t="str">
        <f t="shared" ref="BD34" si="2688">MID($B33,BD$1,1)</f>
        <v>1</v>
      </c>
      <c r="BE34" s="1" t="str">
        <f t="shared" ref="BE34" si="2689">MID($B33,BE$1,1)</f>
        <v>1</v>
      </c>
      <c r="BF34" s="1" t="str">
        <f t="shared" ref="BF34" si="2690">MID($B33,BF$1,1)</f>
        <v>0</v>
      </c>
      <c r="BG34" s="1" t="str">
        <f t="shared" ref="BG34" si="2691">MID($B33,BG$1,1)</f>
        <v>1</v>
      </c>
      <c r="BH34" s="1" t="str">
        <f t="shared" ref="BH34" si="2692">MID($B33,BH$1,1)</f>
        <v>1</v>
      </c>
      <c r="BI34" s="1" t="str">
        <f t="shared" ref="BI34" si="2693">MID($B33,BI$1,1)</f>
        <v>0</v>
      </c>
      <c r="BJ34" s="1" t="str">
        <f t="shared" ref="BJ34" si="2694">MID($B33,BJ$1,1)</f>
        <v>1</v>
      </c>
      <c r="BK34" s="1" t="str">
        <f t="shared" ref="BK34" si="2695">MID($B33,BK$1,1)</f>
        <v>0</v>
      </c>
      <c r="BL34" s="1" t="str">
        <f t="shared" ref="BL34" si="2696">MID($B33,BL$1,1)</f>
        <v>0</v>
      </c>
      <c r="BM34" s="1" t="str">
        <f t="shared" ref="BM34" si="2697">MID($B33,BM$1,1)</f>
        <v>1</v>
      </c>
      <c r="BN34" s="1"/>
      <c r="BO34" s="1" t="str">
        <f>MID($BO33,BO$1,1)</f>
        <v>1</v>
      </c>
      <c r="BP34" s="1" t="str">
        <f t="shared" ref="BP34" si="2698">MID($BO33,BP$1,1)</f>
        <v>1</v>
      </c>
      <c r="BQ34" s="1" t="str">
        <f t="shared" ref="BQ34" si="2699">MID($BO33,BQ$1,1)</f>
        <v>1</v>
      </c>
      <c r="BR34" s="1" t="str">
        <f t="shared" ref="BR34" si="2700">MID($BO33,BR$1,1)</f>
        <v>0</v>
      </c>
      <c r="BS34" s="1" t="str">
        <f t="shared" ref="BS34" si="2701">MID($BO33,BS$1,1)</f>
        <v>0</v>
      </c>
      <c r="BT34" s="1" t="str">
        <f t="shared" ref="BT34" si="2702">MID($BO33,BT$1,1)</f>
        <v>1</v>
      </c>
      <c r="BU34" s="1" t="str">
        <f t="shared" ref="BU34" si="2703">MID($BO33,BU$1,1)</f>
        <v>1</v>
      </c>
      <c r="BV34" s="1" t="str">
        <f t="shared" ref="BV34" si="2704">MID($BO33,BV$1,1)</f>
        <v>0</v>
      </c>
      <c r="BW34" s="1" t="str">
        <f t="shared" ref="BW34" si="2705">MID($BO33,BW$1,1)</f>
        <v>0</v>
      </c>
      <c r="BX34" s="1" t="str">
        <f t="shared" ref="BX34" si="2706">MID($BO33,BX$1,1)</f>
        <v>1</v>
      </c>
      <c r="BY34" s="1" t="str">
        <f t="shared" ref="BY34" si="2707">MID($BO33,BY$1,1)</f>
        <v>1</v>
      </c>
      <c r="BZ34" s="1" t="str">
        <f t="shared" ref="BZ34" si="2708">MID($BO33,BZ$1,1)</f>
        <v>0</v>
      </c>
      <c r="CA34" s="1" t="str">
        <f t="shared" ref="CA34" si="2709">MID($BO33,CA$1,1)</f>
        <v>0</v>
      </c>
      <c r="CB34" s="1" t="str">
        <f t="shared" ref="CB34" si="2710">MID($BO33,CB$1,1)</f>
        <v>0</v>
      </c>
      <c r="CC34" s="1" t="str">
        <f t="shared" ref="CC34" si="2711">MID($BO33,CC$1,1)</f>
        <v>0</v>
      </c>
      <c r="CD34" s="1" t="str">
        <f t="shared" ref="CD34" si="2712">MID($BO33,CD$1,1)</f>
        <v>0</v>
      </c>
      <c r="CE34" s="1" t="str">
        <f t="shared" ref="CE34" si="2713">MID($BO33,CE$1,1)</f>
        <v>1</v>
      </c>
      <c r="CF34" s="1" t="str">
        <f t="shared" ref="CF34" si="2714">MID($BO33,CF$1,1)</f>
        <v>0</v>
      </c>
      <c r="CG34" s="1" t="str">
        <f t="shared" ref="CG34" si="2715">MID($BO33,CG$1,1)</f>
        <v>1</v>
      </c>
      <c r="CH34" s="1" t="str">
        <f t="shared" ref="CH34" si="2716">MID($BO33,CH$1,1)</f>
        <v>1</v>
      </c>
      <c r="CI34" s="1" t="str">
        <f t="shared" ref="CI34" si="2717">MID($BO33,CI$1,1)</f>
        <v>0</v>
      </c>
      <c r="CJ34" s="1" t="str">
        <f t="shared" ref="CJ34" si="2718">MID($BO33,CJ$1,1)</f>
        <v>0</v>
      </c>
      <c r="CK34" s="1" t="str">
        <f t="shared" ref="CK34" si="2719">MID($BO33,CK$1,1)</f>
        <v>0</v>
      </c>
      <c r="CL34" s="1" t="str">
        <f t="shared" ref="CL34" si="2720">MID($BO33,CL$1,1)</f>
        <v>0</v>
      </c>
      <c r="CM34" s="1" t="str">
        <f t="shared" ref="CM34" si="2721">MID($BO33,CM$1,1)</f>
        <v>1</v>
      </c>
      <c r="CN34" s="1" t="str">
        <f t="shared" ref="CN34" si="2722">MID($BO33,CN$1,1)</f>
        <v>1</v>
      </c>
      <c r="CO34" s="1" t="str">
        <f t="shared" ref="CO34" si="2723">MID($BO33,CO$1,1)</f>
        <v>0</v>
      </c>
      <c r="CP34" s="1" t="str">
        <f t="shared" ref="CP34" si="2724">MID($BO33,CP$1,1)</f>
        <v>0</v>
      </c>
      <c r="CQ34" s="1" t="str">
        <f t="shared" ref="CQ34" si="2725">MID($BO33,CQ$1,1)</f>
        <v>0</v>
      </c>
      <c r="CR34" s="1" t="str">
        <f t="shared" ref="CR34" si="2726">MID($BO33,CR$1,1)</f>
        <v>0</v>
      </c>
      <c r="CS34" s="1" t="str">
        <f t="shared" ref="CS34" si="2727">MID($BO33,CS$1,1)</f>
        <v>1</v>
      </c>
      <c r="CT34" s="1" t="str">
        <f t="shared" ref="CT34" si="2728">MID($BO33,CT$1,1)</f>
        <v>1</v>
      </c>
      <c r="CU34" s="1" t="str">
        <f t="shared" ref="CU34" si="2729">MID($BO33,CU$1,1)</f>
        <v>0</v>
      </c>
      <c r="CV34" s="1" t="str">
        <f t="shared" ref="CV34" si="2730">MID($BO33,CV$1,1)</f>
        <v>1</v>
      </c>
      <c r="CW34" s="1" t="str">
        <f t="shared" ref="CW34" si="2731">MID($BO33,CW$1,1)</f>
        <v>0</v>
      </c>
      <c r="CX34" s="1" t="str">
        <f t="shared" ref="CX34" si="2732">MID($BO33,CX$1,1)</f>
        <v>0</v>
      </c>
      <c r="CY34" s="1" t="str">
        <f t="shared" ref="CY34" si="2733">MID($BO33,CY$1,1)</f>
        <v>0</v>
      </c>
      <c r="CZ34" s="1" t="str">
        <f t="shared" ref="CZ34" si="2734">MID($BO33,CZ$1,1)</f>
        <v>1</v>
      </c>
      <c r="DA34" s="1" t="str">
        <f t="shared" ref="DA34" si="2735">MID($BO33,DA$1,1)</f>
        <v>1</v>
      </c>
      <c r="DB34" s="1" t="str">
        <f t="shared" ref="DB34" si="2736">MID($BO33,DB$1,1)</f>
        <v>1</v>
      </c>
      <c r="DC34" s="1" t="str">
        <f t="shared" ref="DC34" si="2737">MID($BO33,DC$1,1)</f>
        <v>1</v>
      </c>
      <c r="DD34" s="1" t="str">
        <f t="shared" ref="DD34" si="2738">MID($BO33,DD$1,1)</f>
        <v>0</v>
      </c>
      <c r="DE34" s="1" t="str">
        <f t="shared" ref="DE34" si="2739">MID($BO33,DE$1,1)</f>
        <v>0</v>
      </c>
      <c r="DF34" s="1" t="str">
        <f t="shared" ref="DF34" si="2740">MID($BO33,DF$1,1)</f>
        <v>0</v>
      </c>
      <c r="DG34" s="1" t="str">
        <f t="shared" ref="DG34" si="2741">MID($BO33,DG$1,1)</f>
        <v>0</v>
      </c>
      <c r="DH34" s="1" t="str">
        <f t="shared" ref="DH34" si="2742">MID($BO33,DH$1,1)</f>
        <v>1</v>
      </c>
      <c r="DI34" s="1" t="str">
        <f t="shared" ref="DI34" si="2743">MID($BO33,DI$1,1)</f>
        <v>0</v>
      </c>
      <c r="DJ34" s="1" t="str">
        <f t="shared" ref="DJ34" si="2744">MID($BO33,DJ$1,1)</f>
        <v>1</v>
      </c>
      <c r="DK34" s="1" t="str">
        <f t="shared" ref="DK34" si="2745">MID($BO33,DK$1,1)</f>
        <v>0</v>
      </c>
      <c r="DL34" s="1" t="str">
        <f t="shared" ref="DL34" si="2746">MID($BO33,DL$1,1)</f>
        <v>1</v>
      </c>
      <c r="DM34" s="1" t="str">
        <f t="shared" ref="DM34" si="2747">MID($BO33,DM$1,1)</f>
        <v>1</v>
      </c>
      <c r="DN34" s="1" t="str">
        <f t="shared" ref="DN34" si="2748">MID($BO33,DN$1,1)</f>
        <v>0</v>
      </c>
      <c r="DO34" s="1" t="str">
        <f t="shared" ref="DO34" si="2749">MID($BO33,DO$1,1)</f>
        <v>0</v>
      </c>
      <c r="DP34" s="1" t="str">
        <f t="shared" ref="DP34" si="2750">MID($BO33,DP$1,1)</f>
        <v>0</v>
      </c>
      <c r="DQ34" s="1" t="str">
        <f t="shared" ref="DQ34" si="2751">MID($BO33,DQ$1,1)</f>
        <v>1</v>
      </c>
      <c r="DR34" s="1" t="str">
        <f t="shared" ref="DR34" si="2752">MID($BO33,DR$1,1)</f>
        <v>0</v>
      </c>
      <c r="DS34" s="1" t="str">
        <f t="shared" ref="DS34" si="2753">MID($BO33,DS$1,1)</f>
        <v>1</v>
      </c>
      <c r="DT34" s="1" t="str">
        <f t="shared" ref="DT34" si="2754">MID($BO33,DT$1,1)</f>
        <v>0</v>
      </c>
      <c r="DU34" s="1" t="str">
        <f t="shared" ref="DU34" si="2755">MID($BO33,DU$1,1)</f>
        <v>1</v>
      </c>
      <c r="DV34" s="1" t="str">
        <f t="shared" ref="DV34" si="2756">MID($BO33,DV$1,1)</f>
        <v>0</v>
      </c>
      <c r="DW34" s="1" t="str">
        <f t="shared" ref="DW34" si="2757">MID($BO33,DW$1,1)</f>
        <v>1</v>
      </c>
      <c r="DX34" s="1" t="str">
        <f t="shared" ref="DX34" si="2758">MID($BO33,DX$1,1)</f>
        <v>1</v>
      </c>
      <c r="DY34" s="1" t="str">
        <f t="shared" ref="DY34" si="2759">MID($BO33,DY$1,1)</f>
        <v>1</v>
      </c>
      <c r="DZ34" s="1" t="str">
        <f t="shared" ref="DZ34" si="2760">MID($BO33,DZ$1,1)</f>
        <v>1</v>
      </c>
      <c r="EB34" s="1">
        <f>IF(B34=BO34,0,1)</f>
        <v>1</v>
      </c>
      <c r="EC34" s="1">
        <f>IF(C34=BP34,0,1)</f>
        <v>1</v>
      </c>
      <c r="ED34" s="1">
        <f t="shared" ref="ED34" si="2761">IF(D34=BQ34,0,1)</f>
        <v>1</v>
      </c>
      <c r="EE34" s="1">
        <f t="shared" ref="EE34" si="2762">IF(E34=BR34,0,1)</f>
        <v>0</v>
      </c>
      <c r="EF34" s="1">
        <f t="shared" ref="EF34" si="2763">IF(F34=BS34,0,1)</f>
        <v>1</v>
      </c>
      <c r="EG34" s="1">
        <f t="shared" ref="EG34" si="2764">IF(G34=BT34,0,1)</f>
        <v>0</v>
      </c>
      <c r="EH34" s="1">
        <f t="shared" ref="EH34" si="2765">IF(H34=BU34,0,1)</f>
        <v>1</v>
      </c>
      <c r="EI34" s="1">
        <f t="shared" ref="EI34" si="2766">IF(I34=BV34,0,1)</f>
        <v>1</v>
      </c>
      <c r="EJ34" s="1">
        <f t="shared" ref="EJ34" si="2767">IF(J34=BW34,0,1)</f>
        <v>0</v>
      </c>
      <c r="EK34" s="1">
        <f t="shared" ref="EK34" si="2768">IF(K34=BX34,0,1)</f>
        <v>1</v>
      </c>
      <c r="EL34" s="1">
        <f t="shared" ref="EL34" si="2769">IF(L34=BY34,0,1)</f>
        <v>0</v>
      </c>
      <c r="EM34" s="1">
        <f t="shared" ref="EM34" si="2770">IF(M34=BZ34,0,1)</f>
        <v>1</v>
      </c>
      <c r="EN34" s="1">
        <f t="shared" ref="EN34" si="2771">IF(N34=CA34,0,1)</f>
        <v>1</v>
      </c>
      <c r="EO34" s="1">
        <f t="shared" ref="EO34" si="2772">IF(O34=CB34,0,1)</f>
        <v>1</v>
      </c>
      <c r="EP34" s="1">
        <f t="shared" ref="EP34" si="2773">IF(P34=CC34,0,1)</f>
        <v>0</v>
      </c>
      <c r="EQ34" s="1">
        <f t="shared" ref="EQ34" si="2774">IF(Q34=CD34,0,1)</f>
        <v>1</v>
      </c>
      <c r="ER34" s="1">
        <f t="shared" ref="ER34" si="2775">IF(R34=CE34,0,1)</f>
        <v>1</v>
      </c>
      <c r="ES34" s="1">
        <f t="shared" ref="ES34" si="2776">IF(S34=CF34,0,1)</f>
        <v>1</v>
      </c>
      <c r="ET34" s="1">
        <f t="shared" ref="ET34" si="2777">IF(T34=CG34,0,1)</f>
        <v>0</v>
      </c>
      <c r="EU34" s="1">
        <f t="shared" ref="EU34" si="2778">IF(U34=CH34,0,1)</f>
        <v>1</v>
      </c>
      <c r="EV34" s="1">
        <f t="shared" ref="EV34" si="2779">IF(V34=CI34,0,1)</f>
        <v>0</v>
      </c>
      <c r="EW34" s="1">
        <f t="shared" ref="EW34" si="2780">IF(W34=CJ34,0,1)</f>
        <v>0</v>
      </c>
      <c r="EX34" s="1">
        <f t="shared" ref="EX34" si="2781">IF(X34=CK34,0,1)</f>
        <v>1</v>
      </c>
      <c r="EY34" s="1">
        <f t="shared" ref="EY34" si="2782">IF(Y34=CL34,0,1)</f>
        <v>0</v>
      </c>
      <c r="EZ34" s="1">
        <f t="shared" ref="EZ34" si="2783">IF(Z34=CM34,0,1)</f>
        <v>1</v>
      </c>
      <c r="FA34" s="1">
        <f t="shared" ref="FA34" si="2784">IF(AA34=CN34,0,1)</f>
        <v>1</v>
      </c>
      <c r="FB34" s="1">
        <f t="shared" ref="FB34" si="2785">IF(AB34=CO34,0,1)</f>
        <v>0</v>
      </c>
      <c r="FC34" s="1">
        <f t="shared" ref="FC34" si="2786">IF(AC34=CP34,0,1)</f>
        <v>1</v>
      </c>
      <c r="FD34" s="1">
        <f t="shared" ref="FD34" si="2787">IF(AD34=CQ34,0,1)</f>
        <v>1</v>
      </c>
      <c r="FE34" s="1">
        <f t="shared" ref="FE34" si="2788">IF(AE34=CR34,0,1)</f>
        <v>0</v>
      </c>
      <c r="FF34" s="1">
        <f t="shared" ref="FF34" si="2789">IF(AF34=CS34,0,1)</f>
        <v>0</v>
      </c>
      <c r="FG34" s="1">
        <f t="shared" ref="FG34" si="2790">IF(AG34=CT34,0,1)</f>
        <v>1</v>
      </c>
      <c r="FH34" s="1">
        <f t="shared" ref="FH34" si="2791">IF(AH34=CU34,0,1)</f>
        <v>0</v>
      </c>
      <c r="FI34" s="1">
        <f t="shared" ref="FI34" si="2792">IF(AI34=CV34,0,1)</f>
        <v>0</v>
      </c>
      <c r="FJ34" s="1">
        <f t="shared" ref="FJ34" si="2793">IF(AJ34=CW34,0,1)</f>
        <v>0</v>
      </c>
      <c r="FK34" s="1">
        <f t="shared" ref="FK34" si="2794">IF(AK34=CX34,0,1)</f>
        <v>0</v>
      </c>
      <c r="FL34" s="1">
        <f t="shared" ref="FL34" si="2795">IF(AL34=CY34,0,1)</f>
        <v>1</v>
      </c>
      <c r="FM34" s="1">
        <f t="shared" ref="FM34" si="2796">IF(AM34=CZ34,0,1)</f>
        <v>1</v>
      </c>
      <c r="FN34" s="1">
        <f t="shared" ref="FN34" si="2797">IF(AN34=DA34,0,1)</f>
        <v>1</v>
      </c>
      <c r="FO34" s="1">
        <f t="shared" ref="FO34" si="2798">IF(AO34=DB34,0,1)</f>
        <v>0</v>
      </c>
      <c r="FP34" s="1">
        <f t="shared" ref="FP34" si="2799">IF(AP34=DC34,0,1)</f>
        <v>0</v>
      </c>
      <c r="FQ34" s="1">
        <f t="shared" ref="FQ34" si="2800">IF(AQ34=DD34,0,1)</f>
        <v>1</v>
      </c>
      <c r="FR34" s="1">
        <f t="shared" ref="FR34" si="2801">IF(AR34=DE34,0,1)</f>
        <v>1</v>
      </c>
      <c r="FS34" s="1">
        <f t="shared" ref="FS34" si="2802">IF(AS34=DF34,0,1)</f>
        <v>1</v>
      </c>
      <c r="FT34" s="1">
        <f t="shared" ref="FT34" si="2803">IF(AT34=DG34,0,1)</f>
        <v>1</v>
      </c>
      <c r="FU34" s="1">
        <f t="shared" ref="FU34" si="2804">IF(AU34=DH34,0,1)</f>
        <v>1</v>
      </c>
      <c r="FV34" s="1">
        <f t="shared" ref="FV34" si="2805">IF(AV34=DI34,0,1)</f>
        <v>0</v>
      </c>
      <c r="FW34" s="1">
        <f t="shared" ref="FW34" si="2806">IF(AW34=DJ34,0,1)</f>
        <v>0</v>
      </c>
      <c r="FX34" s="1">
        <f t="shared" ref="FX34" si="2807">IF(AX34=DK34,0,1)</f>
        <v>1</v>
      </c>
      <c r="FY34" s="1">
        <f t="shared" ref="FY34" si="2808">IF(AY34=DL34,0,1)</f>
        <v>1</v>
      </c>
      <c r="FZ34" s="1">
        <f t="shared" ref="FZ34" si="2809">IF(AZ34=DM34,0,1)</f>
        <v>1</v>
      </c>
      <c r="GA34" s="1">
        <f t="shared" ref="GA34" si="2810">IF(BA34=DN34,0,1)</f>
        <v>0</v>
      </c>
      <c r="GB34" s="1">
        <f t="shared" ref="GB34" si="2811">IF(BB34=DO34,0,1)</f>
        <v>0</v>
      </c>
      <c r="GC34" s="1">
        <f t="shared" ref="GC34" si="2812">IF(BC34=DP34,0,1)</f>
        <v>1</v>
      </c>
      <c r="GD34" s="1">
        <f t="shared" ref="GD34" si="2813">IF(BD34=DQ34,0,1)</f>
        <v>0</v>
      </c>
      <c r="GE34" s="1">
        <f t="shared" ref="GE34" si="2814">IF(BE34=DR34,0,1)</f>
        <v>1</v>
      </c>
      <c r="GF34" s="1">
        <f t="shared" ref="GF34" si="2815">IF(BF34=DS34,0,1)</f>
        <v>1</v>
      </c>
      <c r="GG34" s="1">
        <f t="shared" ref="GG34" si="2816">IF(BG34=DT34,0,1)</f>
        <v>1</v>
      </c>
      <c r="GH34" s="1">
        <f t="shared" ref="GH34" si="2817">IF(BH34=DU34,0,1)</f>
        <v>0</v>
      </c>
      <c r="GI34" s="1">
        <f t="shared" ref="GI34" si="2818">IF(BI34=DV34,0,1)</f>
        <v>0</v>
      </c>
      <c r="GJ34" s="1">
        <f t="shared" ref="GJ34" si="2819">IF(BJ34=DW34,0,1)</f>
        <v>0</v>
      </c>
      <c r="GK34" s="1">
        <f t="shared" ref="GK34" si="2820">IF(BK34=DX34,0,1)</f>
        <v>1</v>
      </c>
      <c r="GL34" s="1">
        <f t="shared" ref="GL34" si="2821">IF(BL34=DY34,0,1)</f>
        <v>1</v>
      </c>
      <c r="GM34" s="1">
        <f t="shared" ref="GM34" si="2822">IF(BM34=DZ34,0,1)</f>
        <v>0</v>
      </c>
      <c r="GO34" s="27">
        <f>SUM(EB34:GM34)</f>
        <v>37</v>
      </c>
    </row>
    <row r="35" spans="1:197">
      <c r="A35" s="2">
        <v>16</v>
      </c>
      <c r="B35" t="str">
        <f>VLOOKUP(A35,MESSAGE,2,FALSE)</f>
        <v>1111110110100010001110011110001000001101001111010110001000011010</v>
      </c>
      <c r="BO35" t="str">
        <f>VLOOKUP(A35,MESSAGE, 4,FALSE)</f>
        <v>1101101011001110001100001010100011100110011000001011000011000011</v>
      </c>
    </row>
    <row r="36" spans="1:197">
      <c r="A36" s="2"/>
      <c r="B36" s="1" t="str">
        <f>MID($B35,B$1,1)</f>
        <v>1</v>
      </c>
      <c r="C36" s="1" t="str">
        <f t="shared" ref="C36" si="2823">MID($B35,C$1,1)</f>
        <v>1</v>
      </c>
      <c r="D36" s="1" t="str">
        <f t="shared" ref="D36" si="2824">MID($B35,D$1,1)</f>
        <v>1</v>
      </c>
      <c r="E36" s="1" t="str">
        <f t="shared" ref="E36" si="2825">MID($B35,E$1,1)</f>
        <v>1</v>
      </c>
      <c r="F36" s="1" t="str">
        <f t="shared" ref="F36" si="2826">MID($B35,F$1,1)</f>
        <v>1</v>
      </c>
      <c r="G36" s="1" t="str">
        <f t="shared" ref="G36" si="2827">MID($B35,G$1,1)</f>
        <v>1</v>
      </c>
      <c r="H36" s="1" t="str">
        <f t="shared" ref="H36" si="2828">MID($B35,H$1,1)</f>
        <v>0</v>
      </c>
      <c r="I36" s="1" t="str">
        <f t="shared" ref="I36" si="2829">MID($B35,I$1,1)</f>
        <v>1</v>
      </c>
      <c r="J36" s="1" t="str">
        <f t="shared" ref="J36" si="2830">MID($B35,J$1,1)</f>
        <v>1</v>
      </c>
      <c r="K36" s="1" t="str">
        <f t="shared" ref="K36" si="2831">MID($B35,K$1,1)</f>
        <v>0</v>
      </c>
      <c r="L36" s="1" t="str">
        <f t="shared" ref="L36" si="2832">MID($B35,L$1,1)</f>
        <v>1</v>
      </c>
      <c r="M36" s="1" t="str">
        <f t="shared" ref="M36" si="2833">MID($B35,M$1,1)</f>
        <v>0</v>
      </c>
      <c r="N36" s="1" t="str">
        <f t="shared" ref="N36" si="2834">MID($B35,N$1,1)</f>
        <v>0</v>
      </c>
      <c r="O36" s="1" t="str">
        <f t="shared" ref="O36" si="2835">MID($B35,O$1,1)</f>
        <v>0</v>
      </c>
      <c r="P36" s="1" t="str">
        <f t="shared" ref="P36" si="2836">MID($B35,P$1,1)</f>
        <v>1</v>
      </c>
      <c r="Q36" s="1" t="str">
        <f t="shared" ref="Q36" si="2837">MID($B35,Q$1,1)</f>
        <v>0</v>
      </c>
      <c r="R36" s="1" t="str">
        <f t="shared" ref="R36" si="2838">MID($B35,R$1,1)</f>
        <v>0</v>
      </c>
      <c r="S36" s="1" t="str">
        <f t="shared" ref="S36" si="2839">MID($B35,S$1,1)</f>
        <v>0</v>
      </c>
      <c r="T36" s="1" t="str">
        <f t="shared" ref="T36" si="2840">MID($B35,T$1,1)</f>
        <v>1</v>
      </c>
      <c r="U36" s="1" t="str">
        <f t="shared" ref="U36" si="2841">MID($B35,U$1,1)</f>
        <v>1</v>
      </c>
      <c r="V36" s="1" t="str">
        <f t="shared" ref="V36" si="2842">MID($B35,V$1,1)</f>
        <v>1</v>
      </c>
      <c r="W36" s="1" t="str">
        <f t="shared" ref="W36" si="2843">MID($B35,W$1,1)</f>
        <v>0</v>
      </c>
      <c r="X36" s="1" t="str">
        <f t="shared" ref="X36" si="2844">MID($B35,X$1,1)</f>
        <v>0</v>
      </c>
      <c r="Y36" s="1" t="str">
        <f t="shared" ref="Y36" si="2845">MID($B35,Y$1,1)</f>
        <v>1</v>
      </c>
      <c r="Z36" s="1" t="str">
        <f t="shared" ref="Z36" si="2846">MID($B35,Z$1,1)</f>
        <v>1</v>
      </c>
      <c r="AA36" s="1" t="str">
        <f t="shared" ref="AA36" si="2847">MID($B35,AA$1,1)</f>
        <v>1</v>
      </c>
      <c r="AB36" s="1" t="str">
        <f t="shared" ref="AB36" si="2848">MID($B35,AB$1,1)</f>
        <v>1</v>
      </c>
      <c r="AC36" s="1" t="str">
        <f t="shared" ref="AC36" si="2849">MID($B35,AC$1,1)</f>
        <v>0</v>
      </c>
      <c r="AD36" s="1" t="str">
        <f t="shared" ref="AD36" si="2850">MID($B35,AD$1,1)</f>
        <v>0</v>
      </c>
      <c r="AE36" s="1" t="str">
        <f t="shared" ref="AE36" si="2851">MID($B35,AE$1,1)</f>
        <v>0</v>
      </c>
      <c r="AF36" s="1" t="str">
        <f t="shared" ref="AF36" si="2852">MID($B35,AF$1,1)</f>
        <v>1</v>
      </c>
      <c r="AG36" s="1" t="str">
        <f t="shared" ref="AG36" si="2853">MID($B35,AG$1,1)</f>
        <v>0</v>
      </c>
      <c r="AH36" s="1" t="str">
        <f t="shared" ref="AH36" si="2854">MID($B35,AH$1,1)</f>
        <v>0</v>
      </c>
      <c r="AI36" s="1" t="str">
        <f t="shared" ref="AI36" si="2855">MID($B35,AI$1,1)</f>
        <v>0</v>
      </c>
      <c r="AJ36" s="1" t="str">
        <f t="shared" ref="AJ36" si="2856">MID($B35,AJ$1,1)</f>
        <v>0</v>
      </c>
      <c r="AK36" s="1" t="str">
        <f t="shared" ref="AK36" si="2857">MID($B35,AK$1,1)</f>
        <v>0</v>
      </c>
      <c r="AL36" s="1" t="str">
        <f t="shared" ref="AL36" si="2858">MID($B35,AL$1,1)</f>
        <v>1</v>
      </c>
      <c r="AM36" s="1" t="str">
        <f t="shared" ref="AM36" si="2859">MID($B35,AM$1,1)</f>
        <v>1</v>
      </c>
      <c r="AN36" s="1" t="str">
        <f t="shared" ref="AN36" si="2860">MID($B35,AN$1,1)</f>
        <v>0</v>
      </c>
      <c r="AO36" s="1" t="str">
        <f t="shared" ref="AO36" si="2861">MID($B35,AO$1,1)</f>
        <v>1</v>
      </c>
      <c r="AP36" s="1" t="str">
        <f t="shared" ref="AP36" si="2862">MID($B35,AP$1,1)</f>
        <v>0</v>
      </c>
      <c r="AQ36" s="1" t="str">
        <f t="shared" ref="AQ36" si="2863">MID($B35,AQ$1,1)</f>
        <v>0</v>
      </c>
      <c r="AR36" s="1" t="str">
        <f t="shared" ref="AR36" si="2864">MID($B35,AR$1,1)</f>
        <v>1</v>
      </c>
      <c r="AS36" s="1" t="str">
        <f t="shared" ref="AS36" si="2865">MID($B35,AS$1,1)</f>
        <v>1</v>
      </c>
      <c r="AT36" s="1" t="str">
        <f t="shared" ref="AT36" si="2866">MID($B35,AT$1,1)</f>
        <v>1</v>
      </c>
      <c r="AU36" s="1" t="str">
        <f t="shared" ref="AU36" si="2867">MID($B35,AU$1,1)</f>
        <v>1</v>
      </c>
      <c r="AV36" s="1" t="str">
        <f t="shared" ref="AV36" si="2868">MID($B35,AV$1,1)</f>
        <v>0</v>
      </c>
      <c r="AW36" s="1" t="str">
        <f t="shared" ref="AW36" si="2869">MID($B35,AW$1,1)</f>
        <v>1</v>
      </c>
      <c r="AX36" s="1" t="str">
        <f t="shared" ref="AX36" si="2870">MID($B35,AX$1,1)</f>
        <v>0</v>
      </c>
      <c r="AY36" s="1" t="str">
        <f t="shared" ref="AY36" si="2871">MID($B35,AY$1,1)</f>
        <v>1</v>
      </c>
      <c r="AZ36" s="1" t="str">
        <f t="shared" ref="AZ36" si="2872">MID($B35,AZ$1,1)</f>
        <v>1</v>
      </c>
      <c r="BA36" s="1" t="str">
        <f t="shared" ref="BA36" si="2873">MID($B35,BA$1,1)</f>
        <v>0</v>
      </c>
      <c r="BB36" s="1" t="str">
        <f t="shared" ref="BB36" si="2874">MID($B35,BB$1,1)</f>
        <v>0</v>
      </c>
      <c r="BC36" s="1" t="str">
        <f t="shared" ref="BC36" si="2875">MID($B35,BC$1,1)</f>
        <v>0</v>
      </c>
      <c r="BD36" s="1" t="str">
        <f t="shared" ref="BD36" si="2876">MID($B35,BD$1,1)</f>
        <v>1</v>
      </c>
      <c r="BE36" s="1" t="str">
        <f t="shared" ref="BE36" si="2877">MID($B35,BE$1,1)</f>
        <v>0</v>
      </c>
      <c r="BF36" s="1" t="str">
        <f t="shared" ref="BF36" si="2878">MID($B35,BF$1,1)</f>
        <v>0</v>
      </c>
      <c r="BG36" s="1" t="str">
        <f t="shared" ref="BG36" si="2879">MID($B35,BG$1,1)</f>
        <v>0</v>
      </c>
      <c r="BH36" s="1" t="str">
        <f t="shared" ref="BH36" si="2880">MID($B35,BH$1,1)</f>
        <v>0</v>
      </c>
      <c r="BI36" s="1" t="str">
        <f t="shared" ref="BI36" si="2881">MID($B35,BI$1,1)</f>
        <v>1</v>
      </c>
      <c r="BJ36" s="1" t="str">
        <f t="shared" ref="BJ36" si="2882">MID($B35,BJ$1,1)</f>
        <v>1</v>
      </c>
      <c r="BK36" s="1" t="str">
        <f t="shared" ref="BK36" si="2883">MID($B35,BK$1,1)</f>
        <v>0</v>
      </c>
      <c r="BL36" s="1" t="str">
        <f t="shared" ref="BL36" si="2884">MID($B35,BL$1,1)</f>
        <v>1</v>
      </c>
      <c r="BM36" s="1" t="str">
        <f t="shared" ref="BM36" si="2885">MID($B35,BM$1,1)</f>
        <v>0</v>
      </c>
      <c r="BN36" s="1"/>
      <c r="BO36" s="1" t="str">
        <f>MID($BO35,BO$1,1)</f>
        <v>1</v>
      </c>
      <c r="BP36" s="1" t="str">
        <f t="shared" ref="BP36" si="2886">MID($BO35,BP$1,1)</f>
        <v>1</v>
      </c>
      <c r="BQ36" s="1" t="str">
        <f t="shared" ref="BQ36" si="2887">MID($BO35,BQ$1,1)</f>
        <v>0</v>
      </c>
      <c r="BR36" s="1" t="str">
        <f t="shared" ref="BR36" si="2888">MID($BO35,BR$1,1)</f>
        <v>1</v>
      </c>
      <c r="BS36" s="1" t="str">
        <f t="shared" ref="BS36" si="2889">MID($BO35,BS$1,1)</f>
        <v>1</v>
      </c>
      <c r="BT36" s="1" t="str">
        <f t="shared" ref="BT36" si="2890">MID($BO35,BT$1,1)</f>
        <v>0</v>
      </c>
      <c r="BU36" s="1" t="str">
        <f t="shared" ref="BU36" si="2891">MID($BO35,BU$1,1)</f>
        <v>1</v>
      </c>
      <c r="BV36" s="1" t="str">
        <f t="shared" ref="BV36" si="2892">MID($BO35,BV$1,1)</f>
        <v>0</v>
      </c>
      <c r="BW36" s="1" t="str">
        <f t="shared" ref="BW36" si="2893">MID($BO35,BW$1,1)</f>
        <v>1</v>
      </c>
      <c r="BX36" s="1" t="str">
        <f t="shared" ref="BX36" si="2894">MID($BO35,BX$1,1)</f>
        <v>1</v>
      </c>
      <c r="BY36" s="1" t="str">
        <f t="shared" ref="BY36" si="2895">MID($BO35,BY$1,1)</f>
        <v>0</v>
      </c>
      <c r="BZ36" s="1" t="str">
        <f t="shared" ref="BZ36" si="2896">MID($BO35,BZ$1,1)</f>
        <v>0</v>
      </c>
      <c r="CA36" s="1" t="str">
        <f t="shared" ref="CA36" si="2897">MID($BO35,CA$1,1)</f>
        <v>1</v>
      </c>
      <c r="CB36" s="1" t="str">
        <f t="shared" ref="CB36" si="2898">MID($BO35,CB$1,1)</f>
        <v>1</v>
      </c>
      <c r="CC36" s="1" t="str">
        <f t="shared" ref="CC36" si="2899">MID($BO35,CC$1,1)</f>
        <v>1</v>
      </c>
      <c r="CD36" s="1" t="str">
        <f t="shared" ref="CD36" si="2900">MID($BO35,CD$1,1)</f>
        <v>0</v>
      </c>
      <c r="CE36" s="1" t="str">
        <f t="shared" ref="CE36" si="2901">MID($BO35,CE$1,1)</f>
        <v>0</v>
      </c>
      <c r="CF36" s="1" t="str">
        <f t="shared" ref="CF36" si="2902">MID($BO35,CF$1,1)</f>
        <v>0</v>
      </c>
      <c r="CG36" s="1" t="str">
        <f t="shared" ref="CG36" si="2903">MID($BO35,CG$1,1)</f>
        <v>1</v>
      </c>
      <c r="CH36" s="1" t="str">
        <f t="shared" ref="CH36" si="2904">MID($BO35,CH$1,1)</f>
        <v>1</v>
      </c>
      <c r="CI36" s="1" t="str">
        <f t="shared" ref="CI36" si="2905">MID($BO35,CI$1,1)</f>
        <v>0</v>
      </c>
      <c r="CJ36" s="1" t="str">
        <f t="shared" ref="CJ36" si="2906">MID($BO35,CJ$1,1)</f>
        <v>0</v>
      </c>
      <c r="CK36" s="1" t="str">
        <f t="shared" ref="CK36" si="2907">MID($BO35,CK$1,1)</f>
        <v>0</v>
      </c>
      <c r="CL36" s="1" t="str">
        <f t="shared" ref="CL36" si="2908">MID($BO35,CL$1,1)</f>
        <v>0</v>
      </c>
      <c r="CM36" s="1" t="str">
        <f t="shared" ref="CM36" si="2909">MID($BO35,CM$1,1)</f>
        <v>1</v>
      </c>
      <c r="CN36" s="1" t="str">
        <f t="shared" ref="CN36" si="2910">MID($BO35,CN$1,1)</f>
        <v>0</v>
      </c>
      <c r="CO36" s="1" t="str">
        <f t="shared" ref="CO36" si="2911">MID($BO35,CO$1,1)</f>
        <v>1</v>
      </c>
      <c r="CP36" s="1" t="str">
        <f t="shared" ref="CP36" si="2912">MID($BO35,CP$1,1)</f>
        <v>0</v>
      </c>
      <c r="CQ36" s="1" t="str">
        <f t="shared" ref="CQ36" si="2913">MID($BO35,CQ$1,1)</f>
        <v>1</v>
      </c>
      <c r="CR36" s="1" t="str">
        <f t="shared" ref="CR36" si="2914">MID($BO35,CR$1,1)</f>
        <v>0</v>
      </c>
      <c r="CS36" s="1" t="str">
        <f t="shared" ref="CS36" si="2915">MID($BO35,CS$1,1)</f>
        <v>0</v>
      </c>
      <c r="CT36" s="1" t="str">
        <f t="shared" ref="CT36" si="2916">MID($BO35,CT$1,1)</f>
        <v>0</v>
      </c>
      <c r="CU36" s="1" t="str">
        <f t="shared" ref="CU36" si="2917">MID($BO35,CU$1,1)</f>
        <v>1</v>
      </c>
      <c r="CV36" s="1" t="str">
        <f t="shared" ref="CV36" si="2918">MID($BO35,CV$1,1)</f>
        <v>1</v>
      </c>
      <c r="CW36" s="1" t="str">
        <f t="shared" ref="CW36" si="2919">MID($BO35,CW$1,1)</f>
        <v>1</v>
      </c>
      <c r="CX36" s="1" t="str">
        <f t="shared" ref="CX36" si="2920">MID($BO35,CX$1,1)</f>
        <v>0</v>
      </c>
      <c r="CY36" s="1" t="str">
        <f t="shared" ref="CY36" si="2921">MID($BO35,CY$1,1)</f>
        <v>0</v>
      </c>
      <c r="CZ36" s="1" t="str">
        <f t="shared" ref="CZ36" si="2922">MID($BO35,CZ$1,1)</f>
        <v>1</v>
      </c>
      <c r="DA36" s="1" t="str">
        <f t="shared" ref="DA36" si="2923">MID($BO35,DA$1,1)</f>
        <v>1</v>
      </c>
      <c r="DB36" s="1" t="str">
        <f t="shared" ref="DB36" si="2924">MID($BO35,DB$1,1)</f>
        <v>0</v>
      </c>
      <c r="DC36" s="1" t="str">
        <f t="shared" ref="DC36" si="2925">MID($BO35,DC$1,1)</f>
        <v>0</v>
      </c>
      <c r="DD36" s="1" t="str">
        <f t="shared" ref="DD36" si="2926">MID($BO35,DD$1,1)</f>
        <v>1</v>
      </c>
      <c r="DE36" s="1" t="str">
        <f t="shared" ref="DE36" si="2927">MID($BO35,DE$1,1)</f>
        <v>1</v>
      </c>
      <c r="DF36" s="1" t="str">
        <f t="shared" ref="DF36" si="2928">MID($BO35,DF$1,1)</f>
        <v>0</v>
      </c>
      <c r="DG36" s="1" t="str">
        <f t="shared" ref="DG36" si="2929">MID($BO35,DG$1,1)</f>
        <v>0</v>
      </c>
      <c r="DH36" s="1" t="str">
        <f t="shared" ref="DH36" si="2930">MID($BO35,DH$1,1)</f>
        <v>0</v>
      </c>
      <c r="DI36" s="1" t="str">
        <f t="shared" ref="DI36" si="2931">MID($BO35,DI$1,1)</f>
        <v>0</v>
      </c>
      <c r="DJ36" s="1" t="str">
        <f t="shared" ref="DJ36" si="2932">MID($BO35,DJ$1,1)</f>
        <v>0</v>
      </c>
      <c r="DK36" s="1" t="str">
        <f t="shared" ref="DK36" si="2933">MID($BO35,DK$1,1)</f>
        <v>1</v>
      </c>
      <c r="DL36" s="1" t="str">
        <f t="shared" ref="DL36" si="2934">MID($BO35,DL$1,1)</f>
        <v>0</v>
      </c>
      <c r="DM36" s="1" t="str">
        <f t="shared" ref="DM36" si="2935">MID($BO35,DM$1,1)</f>
        <v>1</v>
      </c>
      <c r="DN36" s="1" t="str">
        <f t="shared" ref="DN36" si="2936">MID($BO35,DN$1,1)</f>
        <v>1</v>
      </c>
      <c r="DO36" s="1" t="str">
        <f t="shared" ref="DO36" si="2937">MID($BO35,DO$1,1)</f>
        <v>0</v>
      </c>
      <c r="DP36" s="1" t="str">
        <f t="shared" ref="DP36" si="2938">MID($BO35,DP$1,1)</f>
        <v>0</v>
      </c>
      <c r="DQ36" s="1" t="str">
        <f t="shared" ref="DQ36" si="2939">MID($BO35,DQ$1,1)</f>
        <v>0</v>
      </c>
      <c r="DR36" s="1" t="str">
        <f t="shared" ref="DR36" si="2940">MID($BO35,DR$1,1)</f>
        <v>0</v>
      </c>
      <c r="DS36" s="1" t="str">
        <f t="shared" ref="DS36" si="2941">MID($BO35,DS$1,1)</f>
        <v>1</v>
      </c>
      <c r="DT36" s="1" t="str">
        <f t="shared" ref="DT36" si="2942">MID($BO35,DT$1,1)</f>
        <v>1</v>
      </c>
      <c r="DU36" s="1" t="str">
        <f t="shared" ref="DU36" si="2943">MID($BO35,DU$1,1)</f>
        <v>0</v>
      </c>
      <c r="DV36" s="1" t="str">
        <f t="shared" ref="DV36" si="2944">MID($BO35,DV$1,1)</f>
        <v>0</v>
      </c>
      <c r="DW36" s="1" t="str">
        <f t="shared" ref="DW36" si="2945">MID($BO35,DW$1,1)</f>
        <v>0</v>
      </c>
      <c r="DX36" s="1" t="str">
        <f t="shared" ref="DX36" si="2946">MID($BO35,DX$1,1)</f>
        <v>0</v>
      </c>
      <c r="DY36" s="1" t="str">
        <f t="shared" ref="DY36" si="2947">MID($BO35,DY$1,1)</f>
        <v>1</v>
      </c>
      <c r="DZ36" s="1" t="str">
        <f t="shared" ref="DZ36" si="2948">MID($BO35,DZ$1,1)</f>
        <v>1</v>
      </c>
      <c r="EB36" s="1">
        <f>IF(B36=BO36,0,1)</f>
        <v>0</v>
      </c>
      <c r="EC36" s="1">
        <f>IF(C36=BP36,0,1)</f>
        <v>0</v>
      </c>
      <c r="ED36" s="1">
        <f t="shared" ref="ED36" si="2949">IF(D36=BQ36,0,1)</f>
        <v>1</v>
      </c>
      <c r="EE36" s="1">
        <f t="shared" ref="EE36" si="2950">IF(E36=BR36,0,1)</f>
        <v>0</v>
      </c>
      <c r="EF36" s="1">
        <f t="shared" ref="EF36" si="2951">IF(F36=BS36,0,1)</f>
        <v>0</v>
      </c>
      <c r="EG36" s="1">
        <f t="shared" ref="EG36" si="2952">IF(G36=BT36,0,1)</f>
        <v>1</v>
      </c>
      <c r="EH36" s="1">
        <f t="shared" ref="EH36" si="2953">IF(H36=BU36,0,1)</f>
        <v>1</v>
      </c>
      <c r="EI36" s="1">
        <f t="shared" ref="EI36" si="2954">IF(I36=BV36,0,1)</f>
        <v>1</v>
      </c>
      <c r="EJ36" s="1">
        <f t="shared" ref="EJ36" si="2955">IF(J36=BW36,0,1)</f>
        <v>0</v>
      </c>
      <c r="EK36" s="1">
        <f t="shared" ref="EK36" si="2956">IF(K36=BX36,0,1)</f>
        <v>1</v>
      </c>
      <c r="EL36" s="1">
        <f t="shared" ref="EL36" si="2957">IF(L36=BY36,0,1)</f>
        <v>1</v>
      </c>
      <c r="EM36" s="1">
        <f t="shared" ref="EM36" si="2958">IF(M36=BZ36,0,1)</f>
        <v>0</v>
      </c>
      <c r="EN36" s="1">
        <f t="shared" ref="EN36" si="2959">IF(N36=CA36,0,1)</f>
        <v>1</v>
      </c>
      <c r="EO36" s="1">
        <f t="shared" ref="EO36" si="2960">IF(O36=CB36,0,1)</f>
        <v>1</v>
      </c>
      <c r="EP36" s="1">
        <f t="shared" ref="EP36" si="2961">IF(P36=CC36,0,1)</f>
        <v>0</v>
      </c>
      <c r="EQ36" s="1">
        <f t="shared" ref="EQ36" si="2962">IF(Q36=CD36,0,1)</f>
        <v>0</v>
      </c>
      <c r="ER36" s="1">
        <f t="shared" ref="ER36" si="2963">IF(R36=CE36,0,1)</f>
        <v>0</v>
      </c>
      <c r="ES36" s="1">
        <f t="shared" ref="ES36" si="2964">IF(S36=CF36,0,1)</f>
        <v>0</v>
      </c>
      <c r="ET36" s="1">
        <f t="shared" ref="ET36" si="2965">IF(T36=CG36,0,1)</f>
        <v>0</v>
      </c>
      <c r="EU36" s="1">
        <f t="shared" ref="EU36" si="2966">IF(U36=CH36,0,1)</f>
        <v>0</v>
      </c>
      <c r="EV36" s="1">
        <f t="shared" ref="EV36" si="2967">IF(V36=CI36,0,1)</f>
        <v>1</v>
      </c>
      <c r="EW36" s="1">
        <f t="shared" ref="EW36" si="2968">IF(W36=CJ36,0,1)</f>
        <v>0</v>
      </c>
      <c r="EX36" s="1">
        <f t="shared" ref="EX36" si="2969">IF(X36=CK36,0,1)</f>
        <v>0</v>
      </c>
      <c r="EY36" s="1">
        <f t="shared" ref="EY36" si="2970">IF(Y36=CL36,0,1)</f>
        <v>1</v>
      </c>
      <c r="EZ36" s="1">
        <f t="shared" ref="EZ36" si="2971">IF(Z36=CM36,0,1)</f>
        <v>0</v>
      </c>
      <c r="FA36" s="1">
        <f t="shared" ref="FA36" si="2972">IF(AA36=CN36,0,1)</f>
        <v>1</v>
      </c>
      <c r="FB36" s="1">
        <f t="shared" ref="FB36" si="2973">IF(AB36=CO36,0,1)</f>
        <v>0</v>
      </c>
      <c r="FC36" s="1">
        <f t="shared" ref="FC36" si="2974">IF(AC36=CP36,0,1)</f>
        <v>0</v>
      </c>
      <c r="FD36" s="1">
        <f t="shared" ref="FD36" si="2975">IF(AD36=CQ36,0,1)</f>
        <v>1</v>
      </c>
      <c r="FE36" s="1">
        <f t="shared" ref="FE36" si="2976">IF(AE36=CR36,0,1)</f>
        <v>0</v>
      </c>
      <c r="FF36" s="1">
        <f t="shared" ref="FF36" si="2977">IF(AF36=CS36,0,1)</f>
        <v>1</v>
      </c>
      <c r="FG36" s="1">
        <f t="shared" ref="FG36" si="2978">IF(AG36=CT36,0,1)</f>
        <v>0</v>
      </c>
      <c r="FH36" s="1">
        <f t="shared" ref="FH36" si="2979">IF(AH36=CU36,0,1)</f>
        <v>1</v>
      </c>
      <c r="FI36" s="1">
        <f t="shared" ref="FI36" si="2980">IF(AI36=CV36,0,1)</f>
        <v>1</v>
      </c>
      <c r="FJ36" s="1">
        <f t="shared" ref="FJ36" si="2981">IF(AJ36=CW36,0,1)</f>
        <v>1</v>
      </c>
      <c r="FK36" s="1">
        <f t="shared" ref="FK36" si="2982">IF(AK36=CX36,0,1)</f>
        <v>0</v>
      </c>
      <c r="FL36" s="1">
        <f t="shared" ref="FL36" si="2983">IF(AL36=CY36,0,1)</f>
        <v>1</v>
      </c>
      <c r="FM36" s="1">
        <f t="shared" ref="FM36" si="2984">IF(AM36=CZ36,0,1)</f>
        <v>0</v>
      </c>
      <c r="FN36" s="1">
        <f t="shared" ref="FN36" si="2985">IF(AN36=DA36,0,1)</f>
        <v>1</v>
      </c>
      <c r="FO36" s="1">
        <f t="shared" ref="FO36" si="2986">IF(AO36=DB36,0,1)</f>
        <v>1</v>
      </c>
      <c r="FP36" s="1">
        <f t="shared" ref="FP36" si="2987">IF(AP36=DC36,0,1)</f>
        <v>0</v>
      </c>
      <c r="FQ36" s="1">
        <f t="shared" ref="FQ36" si="2988">IF(AQ36=DD36,0,1)</f>
        <v>1</v>
      </c>
      <c r="FR36" s="1">
        <f t="shared" ref="FR36" si="2989">IF(AR36=DE36,0,1)</f>
        <v>0</v>
      </c>
      <c r="FS36" s="1">
        <f t="shared" ref="FS36" si="2990">IF(AS36=DF36,0,1)</f>
        <v>1</v>
      </c>
      <c r="FT36" s="1">
        <f t="shared" ref="FT36" si="2991">IF(AT36=DG36,0,1)</f>
        <v>1</v>
      </c>
      <c r="FU36" s="1">
        <f t="shared" ref="FU36" si="2992">IF(AU36=DH36,0,1)</f>
        <v>1</v>
      </c>
      <c r="FV36" s="1">
        <f t="shared" ref="FV36" si="2993">IF(AV36=DI36,0,1)</f>
        <v>0</v>
      </c>
      <c r="FW36" s="1">
        <f t="shared" ref="FW36" si="2994">IF(AW36=DJ36,0,1)</f>
        <v>1</v>
      </c>
      <c r="FX36" s="1">
        <f t="shared" ref="FX36" si="2995">IF(AX36=DK36,0,1)</f>
        <v>1</v>
      </c>
      <c r="FY36" s="1">
        <f t="shared" ref="FY36" si="2996">IF(AY36=DL36,0,1)</f>
        <v>1</v>
      </c>
      <c r="FZ36" s="1">
        <f t="shared" ref="FZ36" si="2997">IF(AZ36=DM36,0,1)</f>
        <v>0</v>
      </c>
      <c r="GA36" s="1">
        <f t="shared" ref="GA36" si="2998">IF(BA36=DN36,0,1)</f>
        <v>1</v>
      </c>
      <c r="GB36" s="1">
        <f t="shared" ref="GB36" si="2999">IF(BB36=DO36,0,1)</f>
        <v>0</v>
      </c>
      <c r="GC36" s="1">
        <f t="shared" ref="GC36" si="3000">IF(BC36=DP36,0,1)</f>
        <v>0</v>
      </c>
      <c r="GD36" s="1">
        <f t="shared" ref="GD36" si="3001">IF(BD36=DQ36,0,1)</f>
        <v>1</v>
      </c>
      <c r="GE36" s="1">
        <f t="shared" ref="GE36" si="3002">IF(BE36=DR36,0,1)</f>
        <v>0</v>
      </c>
      <c r="GF36" s="1">
        <f t="shared" ref="GF36" si="3003">IF(BF36=DS36,0,1)</f>
        <v>1</v>
      </c>
      <c r="GG36" s="1">
        <f t="shared" ref="GG36" si="3004">IF(BG36=DT36,0,1)</f>
        <v>1</v>
      </c>
      <c r="GH36" s="1">
        <f t="shared" ref="GH36" si="3005">IF(BH36=DU36,0,1)</f>
        <v>0</v>
      </c>
      <c r="GI36" s="1">
        <f t="shared" ref="GI36" si="3006">IF(BI36=DV36,0,1)</f>
        <v>1</v>
      </c>
      <c r="GJ36" s="1">
        <f t="shared" ref="GJ36" si="3007">IF(BJ36=DW36,0,1)</f>
        <v>1</v>
      </c>
      <c r="GK36" s="1">
        <f t="shared" ref="GK36" si="3008">IF(BK36=DX36,0,1)</f>
        <v>0</v>
      </c>
      <c r="GL36" s="1">
        <f t="shared" ref="GL36" si="3009">IF(BL36=DY36,0,1)</f>
        <v>0</v>
      </c>
      <c r="GM36" s="1">
        <f t="shared" ref="GM36" si="3010">IF(BM36=DZ36,0,1)</f>
        <v>1</v>
      </c>
      <c r="GO36" s="27">
        <f>SUM(EB36:GM36)</f>
        <v>33</v>
      </c>
    </row>
    <row r="38" spans="1:197">
      <c r="C38" s="9" t="s">
        <v>99</v>
      </c>
    </row>
    <row r="39" spans="1:19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O39" s="27"/>
    </row>
    <row r="40" spans="1:19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O40" s="27"/>
    </row>
  </sheetData>
  <printOptions verticalCentered="1"/>
  <pageMargins left="0.45" right="0.45" top="0.25" bottom="0.2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9"/>
  <sheetViews>
    <sheetView topLeftCell="A7" workbookViewId="0">
      <selection activeCell="P30" sqref="P30"/>
    </sheetView>
  </sheetViews>
  <sheetFormatPr defaultColWidth="4.28515625" defaultRowHeight="15"/>
  <cols>
    <col min="1" max="1" width="10.42578125" bestFit="1" customWidth="1"/>
    <col min="2" max="2" width="9.140625" customWidth="1"/>
    <col min="3" max="3" width="5.42578125" bestFit="1" customWidth="1"/>
    <col min="10" max="10" width="5.85546875" bestFit="1" customWidth="1"/>
  </cols>
  <sheetData>
    <row r="1" spans="1:11">
      <c r="B1" s="1" t="s">
        <v>100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 t="s">
        <v>101</v>
      </c>
    </row>
    <row r="2" spans="1:11">
      <c r="A2" t="s">
        <v>102</v>
      </c>
      <c r="B2" s="1">
        <v>1</v>
      </c>
      <c r="C2" t="str">
        <f>MID('IO SHEET'!$B$11,VLOOKUP($B2,PC_1,'CiDi SHEET'!C$1+1,FALSE),1)</f>
        <v>1</v>
      </c>
      <c r="D2" t="str">
        <f>MID('IO SHEET'!$B$11,VLOOKUP($B2,PC_1,'CiDi SHEET'!D$1+1,FALSE),1)</f>
        <v>1</v>
      </c>
      <c r="E2" t="str">
        <f>MID('IO SHEET'!$B$11,VLOOKUP($B2,PC_1,'CiDi SHEET'!E$1+1,FALSE),1)</f>
        <v>0</v>
      </c>
      <c r="F2" t="str">
        <f>MID('IO SHEET'!$B$11,VLOOKUP($B2,PC_1,'CiDi SHEET'!F$1+1,FALSE),1)</f>
        <v>0</v>
      </c>
      <c r="G2" t="str">
        <f>MID('IO SHEET'!$B$11,VLOOKUP($B2,PC_1,'CiDi SHEET'!G$1+1,FALSE),1)</f>
        <v>0</v>
      </c>
      <c r="H2" t="str">
        <f>MID('IO SHEET'!$B$11,VLOOKUP($B2,PC_1,'CiDi SHEET'!H$1+1,FALSE),1)</f>
        <v>0</v>
      </c>
      <c r="I2" t="str">
        <f>MID('IO SHEET'!$B$11,VLOOKUP($B2,PC_1,'CiDi SHEET'!I$1+1,FALSE),1)</f>
        <v>1</v>
      </c>
      <c r="J2" t="str">
        <f>CONCATENATE(C2,D2,E2,F2,G2,H2,I2)</f>
        <v>1100001</v>
      </c>
    </row>
    <row r="3" spans="1:11">
      <c r="B3" s="1">
        <v>2</v>
      </c>
      <c r="C3" t="str">
        <f>MID('IO SHEET'!$B$11,VLOOKUP($B3,PC_1,'CiDi SHEET'!C$1+1,FALSE),1)</f>
        <v>1</v>
      </c>
      <c r="D3" t="str">
        <f>MID('IO SHEET'!$B$11,VLOOKUP($B3,PC_1,'CiDi SHEET'!D$1+1,FALSE),1)</f>
        <v>1</v>
      </c>
      <c r="E3" t="str">
        <f>MID('IO SHEET'!$B$11,VLOOKUP($B3,PC_1,'CiDi SHEET'!E$1+1,FALSE),1)</f>
        <v>1</v>
      </c>
      <c r="F3" t="str">
        <f>MID('IO SHEET'!$B$11,VLOOKUP($B3,PC_1,'CiDi SHEET'!F$1+1,FALSE),1)</f>
        <v>0</v>
      </c>
      <c r="G3" t="str">
        <f>MID('IO SHEET'!$B$11,VLOOKUP($B3,PC_1,'CiDi SHEET'!G$1+1,FALSE),1)</f>
        <v>0</v>
      </c>
      <c r="H3" t="str">
        <f>MID('IO SHEET'!$B$11,VLOOKUP($B3,PC_1,'CiDi SHEET'!H$1+1,FALSE),1)</f>
        <v>0</v>
      </c>
      <c r="I3" t="str">
        <f>MID('IO SHEET'!$B$11,VLOOKUP($B3,PC_1,'CiDi SHEET'!I$1+1,FALSE),1)</f>
        <v>0</v>
      </c>
      <c r="J3" t="str">
        <f t="shared" ref="J3:J9" si="0">CONCATENATE(C3,D3,E3,F3,G3,H3,I3)</f>
        <v>1110000</v>
      </c>
    </row>
    <row r="4" spans="1:11">
      <c r="B4" s="1">
        <v>3</v>
      </c>
      <c r="C4" t="str">
        <f>MID('IO SHEET'!$B$11,VLOOKUP($B4,PC_1,'CiDi SHEET'!C$1+1,FALSE),1)</f>
        <v>0</v>
      </c>
      <c r="D4" t="str">
        <f>MID('IO SHEET'!$B$11,VLOOKUP($B4,PC_1,'CiDi SHEET'!D$1+1,FALSE),1)</f>
        <v>0</v>
      </c>
      <c r="E4" t="str">
        <f>MID('IO SHEET'!$B$11,VLOOKUP($B4,PC_1,'CiDi SHEET'!E$1+1,FALSE),1)</f>
        <v>0</v>
      </c>
      <c r="F4" t="str">
        <f>MID('IO SHEET'!$B$11,VLOOKUP($B4,PC_1,'CiDi SHEET'!F$1+1,FALSE),1)</f>
        <v>0</v>
      </c>
      <c r="G4" t="str">
        <f>MID('IO SHEET'!$B$11,VLOOKUP($B4,PC_1,'CiDi SHEET'!G$1+1,FALSE),1)</f>
        <v>1</v>
      </c>
      <c r="H4" t="str">
        <f>MID('IO SHEET'!$B$11,VLOOKUP($B4,PC_1,'CiDi SHEET'!H$1+1,FALSE),1)</f>
        <v>1</v>
      </c>
      <c r="I4" t="str">
        <f>MID('IO SHEET'!$B$11,VLOOKUP($B4,PC_1,'CiDi SHEET'!I$1+1,FALSE),1)</f>
        <v>0</v>
      </c>
      <c r="J4" t="str">
        <f t="shared" si="0"/>
        <v>0000110</v>
      </c>
    </row>
    <row r="5" spans="1:11">
      <c r="B5" s="1">
        <v>4</v>
      </c>
      <c r="C5" t="str">
        <f>MID('IO SHEET'!$B$11,VLOOKUP($B5,PC_1,'CiDi SHEET'!C$1+1,FALSE),1)</f>
        <v>0</v>
      </c>
      <c r="D5" t="str">
        <f>MID('IO SHEET'!$B$11,VLOOKUP($B5,PC_1,'CiDi SHEET'!D$1+1,FALSE),1)</f>
        <v>1</v>
      </c>
      <c r="E5" t="str">
        <f>MID('IO SHEET'!$B$11,VLOOKUP($B5,PC_1,'CiDi SHEET'!E$1+1,FALSE),1)</f>
        <v>1</v>
      </c>
      <c r="F5" t="str">
        <f>MID('IO SHEET'!$B$11,VLOOKUP($B5,PC_1,'CiDi SHEET'!F$1+1,FALSE),1)</f>
        <v>1</v>
      </c>
      <c r="G5" t="str">
        <f>MID('IO SHEET'!$B$11,VLOOKUP($B5,PC_1,'CiDi SHEET'!G$1+1,FALSE),1)</f>
        <v>0</v>
      </c>
      <c r="H5" t="str">
        <f>MID('IO SHEET'!$B$11,VLOOKUP($B5,PC_1,'CiDi SHEET'!H$1+1,FALSE),1)</f>
        <v>1</v>
      </c>
      <c r="I5" t="str">
        <f>MID('IO SHEET'!$B$11,VLOOKUP($B5,PC_1,'CiDi SHEET'!I$1+1,FALSE),1)</f>
        <v>0</v>
      </c>
      <c r="J5" t="str">
        <f t="shared" si="0"/>
        <v>0111010</v>
      </c>
    </row>
    <row r="6" spans="1:11">
      <c r="B6" s="1">
        <v>5</v>
      </c>
      <c r="C6" t="str">
        <f>MID('IO SHEET'!$B$11,VLOOKUP($B6,PC_1,'CiDi SHEET'!C$1+1,FALSE),1)</f>
        <v>0</v>
      </c>
      <c r="D6" t="str">
        <f>MID('IO SHEET'!$B$11,VLOOKUP($B6,PC_1,'CiDi SHEET'!D$1+1,FALSE),1)</f>
        <v>0</v>
      </c>
      <c r="E6" t="str">
        <f>MID('IO SHEET'!$B$11,VLOOKUP($B6,PC_1,'CiDi SHEET'!E$1+1,FALSE),1)</f>
        <v>1</v>
      </c>
      <c r="F6" t="str">
        <f>MID('IO SHEET'!$B$11,VLOOKUP($B6,PC_1,'CiDi SHEET'!F$1+1,FALSE),1)</f>
        <v>1</v>
      </c>
      <c r="G6" t="str">
        <f>MID('IO SHEET'!$B$11,VLOOKUP($B6,PC_1,'CiDi SHEET'!G$1+1,FALSE),1)</f>
        <v>0</v>
      </c>
      <c r="H6" t="str">
        <f>MID('IO SHEET'!$B$11,VLOOKUP($B6,PC_1,'CiDi SHEET'!H$1+1,FALSE),1)</f>
        <v>0</v>
      </c>
      <c r="I6" t="str">
        <f>MID('IO SHEET'!$B$11,VLOOKUP($B6,PC_1,'CiDi SHEET'!I$1+1,FALSE),1)</f>
        <v>1</v>
      </c>
      <c r="J6" t="str">
        <f t="shared" si="0"/>
        <v>0011001</v>
      </c>
    </row>
    <row r="7" spans="1:11">
      <c r="B7" s="1">
        <v>6</v>
      </c>
      <c r="C7" t="str">
        <f>MID('IO SHEET'!$B$11,VLOOKUP($B7,PC_1,'CiDi SHEET'!C$1+1,FALSE),1)</f>
        <v>1</v>
      </c>
      <c r="D7" t="str">
        <f>MID('IO SHEET'!$B$11,VLOOKUP($B7,PC_1,'CiDi SHEET'!D$1+1,FALSE),1)</f>
        <v>1</v>
      </c>
      <c r="E7" t="str">
        <f>MID('IO SHEET'!$B$11,VLOOKUP($B7,PC_1,'CiDi SHEET'!E$1+1,FALSE),1)</f>
        <v>1</v>
      </c>
      <c r="F7" t="str">
        <f>MID('IO SHEET'!$B$11,VLOOKUP($B7,PC_1,'CiDi SHEET'!F$1+1,FALSE),1)</f>
        <v>1</v>
      </c>
      <c r="G7" t="str">
        <f>MID('IO SHEET'!$B$11,VLOOKUP($B7,PC_1,'CiDi SHEET'!G$1+1,FALSE),1)</f>
        <v>1</v>
      </c>
      <c r="H7" t="str">
        <f>MID('IO SHEET'!$B$11,VLOOKUP($B7,PC_1,'CiDi SHEET'!H$1+1,FALSE),1)</f>
        <v>0</v>
      </c>
      <c r="I7" t="str">
        <f>MID('IO SHEET'!$B$11,VLOOKUP($B7,PC_1,'CiDi SHEET'!I$1+1,FALSE),1)</f>
        <v>0</v>
      </c>
      <c r="J7" t="str">
        <f t="shared" si="0"/>
        <v>1111100</v>
      </c>
    </row>
    <row r="8" spans="1:11">
      <c r="B8" s="1">
        <v>7</v>
      </c>
      <c r="C8" t="str">
        <f>MID('IO SHEET'!$B$11,VLOOKUP($B8,PC_1,'CiDi SHEET'!C$1+1,FALSE),1)</f>
        <v>0</v>
      </c>
      <c r="D8" t="str">
        <f>MID('IO SHEET'!$B$11,VLOOKUP($B8,PC_1,'CiDi SHEET'!D$1+1,FALSE),1)</f>
        <v>0</v>
      </c>
      <c r="E8" t="str">
        <f>MID('IO SHEET'!$B$11,VLOOKUP($B8,PC_1,'CiDi SHEET'!E$1+1,FALSE),1)</f>
        <v>1</v>
      </c>
      <c r="F8" t="str">
        <f>MID('IO SHEET'!$B$11,VLOOKUP($B8,PC_1,'CiDi SHEET'!F$1+1,FALSE),1)</f>
        <v>1</v>
      </c>
      <c r="G8" t="str">
        <f>MID('IO SHEET'!$B$11,VLOOKUP($B8,PC_1,'CiDi SHEET'!G$1+1,FALSE),1)</f>
        <v>0</v>
      </c>
      <c r="H8" t="str">
        <f>MID('IO SHEET'!$B$11,VLOOKUP($B8,PC_1,'CiDi SHEET'!H$1+1,FALSE),1)</f>
        <v>0</v>
      </c>
      <c r="I8" t="str">
        <f>MID('IO SHEET'!$B$11,VLOOKUP($B8,PC_1,'CiDi SHEET'!I$1+1,FALSE),1)</f>
        <v>1</v>
      </c>
      <c r="J8" t="str">
        <f t="shared" si="0"/>
        <v>0011001</v>
      </c>
    </row>
    <row r="9" spans="1:11">
      <c r="B9" s="1">
        <v>8</v>
      </c>
      <c r="C9" t="str">
        <f>MID('IO SHEET'!$B$11,VLOOKUP($B9,PC_1,'CiDi SHEET'!C$1+1,FALSE),1)</f>
        <v>1</v>
      </c>
      <c r="D9" t="str">
        <f>MID('IO SHEET'!$B$11,VLOOKUP($B9,PC_1,'CiDi SHEET'!D$1+1,FALSE),1)</f>
        <v>1</v>
      </c>
      <c r="E9" t="str">
        <f>MID('IO SHEET'!$B$11,VLOOKUP($B9,PC_1,'CiDi SHEET'!E$1+1,FALSE),1)</f>
        <v>1</v>
      </c>
      <c r="F9" t="str">
        <f>MID('IO SHEET'!$B$11,VLOOKUP($B9,PC_1,'CiDi SHEET'!F$1+1,FALSE),1)</f>
        <v>1</v>
      </c>
      <c r="G9" t="str">
        <f>MID('IO SHEET'!$B$11,VLOOKUP($B9,PC_1,'CiDi SHEET'!G$1+1,FALSE),1)</f>
        <v>0</v>
      </c>
      <c r="H9" t="str">
        <f>MID('IO SHEET'!$B$11,VLOOKUP($B9,PC_1,'CiDi SHEET'!H$1+1,FALSE),1)</f>
        <v>1</v>
      </c>
      <c r="I9" t="str">
        <f>MID('IO SHEET'!$B$11,VLOOKUP($B9,PC_1,'CiDi SHEET'!I$1+1,FALSE),1)</f>
        <v>0</v>
      </c>
      <c r="J9" t="str">
        <f t="shared" si="0"/>
        <v>1111010</v>
      </c>
    </row>
    <row r="10" spans="1:11">
      <c r="A10" t="s">
        <v>103</v>
      </c>
      <c r="C10" t="str">
        <f>CONCATENATE(J2,J3,J4,J5,J6,J7,J8,J9)</f>
        <v>11000011110000000011001110100011001111110000110011111010</v>
      </c>
    </row>
    <row r="11" spans="1:11">
      <c r="C11">
        <f>LEN(C10)</f>
        <v>56</v>
      </c>
    </row>
    <row r="12" spans="1:11">
      <c r="A12" t="s">
        <v>5</v>
      </c>
      <c r="B12" t="s">
        <v>104</v>
      </c>
      <c r="C12" t="s">
        <v>105</v>
      </c>
      <c r="K12" t="s">
        <v>106</v>
      </c>
    </row>
    <row r="13" spans="1:11">
      <c r="A13">
        <v>0</v>
      </c>
      <c r="B13">
        <v>0</v>
      </c>
      <c r="C13" t="str">
        <f>CONCATENATE(J2,J3,J4,J5)</f>
        <v>1100001111000000001100111010</v>
      </c>
      <c r="K13" t="str">
        <f>CONCATENATE(J6,J7,J8,J9)</f>
        <v>0011001111110000110011111010</v>
      </c>
    </row>
    <row r="14" spans="1:11">
      <c r="A14">
        <v>1</v>
      </c>
      <c r="B14">
        <v>1</v>
      </c>
      <c r="C14" t="str">
        <f>CONCATENATE(RIGHT(C13,(28-$B14)),LEFT(C13,$B14))</f>
        <v>1000011110000000011001110101</v>
      </c>
      <c r="K14" t="str">
        <f>CONCATENATE(RIGHT(K13,(28-$B14)),LEFT(K13,$B14))</f>
        <v>0110011111100001100111110100</v>
      </c>
    </row>
    <row r="15" spans="1:11">
      <c r="A15">
        <v>2</v>
      </c>
      <c r="B15">
        <v>1</v>
      </c>
      <c r="C15" t="str">
        <f>CONCATENATE(RIGHT(C14,(28-$B15)),LEFT(C14,B15))</f>
        <v>0000111100000000110011101011</v>
      </c>
      <c r="K15" t="str">
        <f t="shared" ref="K15:K29" si="1">CONCATENATE(RIGHT(K14,(28-$B15)),LEFT(K14,$B15))</f>
        <v>1100111111000011001111101000</v>
      </c>
    </row>
    <row r="16" spans="1:11">
      <c r="A16">
        <v>3</v>
      </c>
      <c r="B16">
        <v>2</v>
      </c>
      <c r="C16" t="str">
        <f t="shared" ref="C16:C29" si="2">CONCATENATE(RIGHT(C15,(28-$B16)),LEFT(C15,B16))</f>
        <v>0011110000000011001110101100</v>
      </c>
      <c r="K16" t="str">
        <f t="shared" si="1"/>
        <v>0011111100001100111110100011</v>
      </c>
    </row>
    <row r="17" spans="1:51">
      <c r="A17">
        <v>4</v>
      </c>
      <c r="B17">
        <v>2</v>
      </c>
      <c r="C17" t="str">
        <f t="shared" si="2"/>
        <v>1111000000001100111010110000</v>
      </c>
      <c r="K17" t="str">
        <f t="shared" si="1"/>
        <v>1111110000110011111010001100</v>
      </c>
    </row>
    <row r="18" spans="1:51">
      <c r="A18">
        <v>5</v>
      </c>
      <c r="B18">
        <v>2</v>
      </c>
      <c r="C18" t="str">
        <f t="shared" si="2"/>
        <v>1100000000110011101011000011</v>
      </c>
      <c r="K18" t="str">
        <f t="shared" si="1"/>
        <v>1111000011001111101000110011</v>
      </c>
    </row>
    <row r="19" spans="1:51">
      <c r="A19">
        <v>6</v>
      </c>
      <c r="B19">
        <v>2</v>
      </c>
      <c r="C19" t="str">
        <f t="shared" si="2"/>
        <v>0000000011001110101100001111</v>
      </c>
      <c r="K19" t="str">
        <f t="shared" si="1"/>
        <v>1100001100111110100011001111</v>
      </c>
    </row>
    <row r="20" spans="1:51">
      <c r="A20">
        <v>7</v>
      </c>
      <c r="B20">
        <v>2</v>
      </c>
      <c r="C20" t="str">
        <f t="shared" si="2"/>
        <v>0000001100111010110000111100</v>
      </c>
      <c r="K20" t="str">
        <f t="shared" si="1"/>
        <v>0000110011111010001100111111</v>
      </c>
    </row>
    <row r="21" spans="1:51">
      <c r="A21">
        <v>8</v>
      </c>
      <c r="B21">
        <v>2</v>
      </c>
      <c r="C21" t="str">
        <f t="shared" si="2"/>
        <v>0000110011101011000011110000</v>
      </c>
      <c r="K21" t="str">
        <f t="shared" si="1"/>
        <v>0011001111101000110011111100</v>
      </c>
    </row>
    <row r="22" spans="1:51">
      <c r="A22">
        <v>9</v>
      </c>
      <c r="B22">
        <v>1</v>
      </c>
      <c r="C22" t="str">
        <f t="shared" si="2"/>
        <v>0001100111010110000111100000</v>
      </c>
      <c r="K22" t="str">
        <f t="shared" si="1"/>
        <v>0110011111010001100111111000</v>
      </c>
    </row>
    <row r="23" spans="1:51">
      <c r="A23">
        <v>10</v>
      </c>
      <c r="B23">
        <v>2</v>
      </c>
      <c r="C23" t="str">
        <f t="shared" si="2"/>
        <v>0110011101011000011110000000</v>
      </c>
      <c r="K23" t="str">
        <f t="shared" si="1"/>
        <v>1001111101000110011111100001</v>
      </c>
    </row>
    <row r="24" spans="1:51">
      <c r="A24">
        <v>11</v>
      </c>
      <c r="B24">
        <v>2</v>
      </c>
      <c r="C24" t="str">
        <f t="shared" si="2"/>
        <v>1001110101100001111000000001</v>
      </c>
      <c r="K24" t="str">
        <f t="shared" si="1"/>
        <v>0111110100011001111110000110</v>
      </c>
    </row>
    <row r="25" spans="1:51">
      <c r="A25">
        <v>12</v>
      </c>
      <c r="B25">
        <v>2</v>
      </c>
      <c r="C25" t="str">
        <f t="shared" si="2"/>
        <v>0111010110000111100000000110</v>
      </c>
      <c r="K25" t="str">
        <f t="shared" si="1"/>
        <v>1111010001100111111000011001</v>
      </c>
    </row>
    <row r="26" spans="1:51">
      <c r="A26">
        <v>13</v>
      </c>
      <c r="B26">
        <v>2</v>
      </c>
      <c r="C26" t="str">
        <f t="shared" si="2"/>
        <v>1101011000011110000000011001</v>
      </c>
      <c r="K26" t="str">
        <f t="shared" si="1"/>
        <v>1101000110011111100001100111</v>
      </c>
    </row>
    <row r="27" spans="1:51">
      <c r="A27">
        <v>14</v>
      </c>
      <c r="B27">
        <v>2</v>
      </c>
      <c r="C27" t="str">
        <f t="shared" si="2"/>
        <v>0101100001111000000001100111</v>
      </c>
      <c r="K27" t="str">
        <f t="shared" si="1"/>
        <v>0100011001111110000110011111</v>
      </c>
    </row>
    <row r="28" spans="1:51">
      <c r="A28">
        <v>15</v>
      </c>
      <c r="B28">
        <v>2</v>
      </c>
      <c r="C28" t="str">
        <f t="shared" si="2"/>
        <v>0110000111100000000110011101</v>
      </c>
      <c r="K28" t="str">
        <f t="shared" si="1"/>
        <v>0001100111111000011001111101</v>
      </c>
    </row>
    <row r="29" spans="1:51">
      <c r="A29">
        <v>16</v>
      </c>
      <c r="B29">
        <v>1</v>
      </c>
      <c r="C29" t="str">
        <f t="shared" si="2"/>
        <v>1100001111000000001100111010</v>
      </c>
      <c r="K29" t="str">
        <f t="shared" si="1"/>
        <v>0011001111110000110011111010</v>
      </c>
      <c r="S29">
        <v>1</v>
      </c>
      <c r="T29">
        <f>S29+4</f>
        <v>5</v>
      </c>
      <c r="U29">
        <f t="shared" ref="U29:AD29" si="3">T29+4</f>
        <v>9</v>
      </c>
      <c r="V29">
        <f t="shared" si="3"/>
        <v>13</v>
      </c>
      <c r="W29">
        <f t="shared" si="3"/>
        <v>17</v>
      </c>
      <c r="X29">
        <f t="shared" si="3"/>
        <v>21</v>
      </c>
      <c r="Y29">
        <f t="shared" si="3"/>
        <v>25</v>
      </c>
      <c r="Z29">
        <f t="shared" si="3"/>
        <v>29</v>
      </c>
      <c r="AA29">
        <f t="shared" si="3"/>
        <v>33</v>
      </c>
      <c r="AB29">
        <f t="shared" si="3"/>
        <v>37</v>
      </c>
      <c r="AC29">
        <f t="shared" si="3"/>
        <v>41</v>
      </c>
      <c r="AD29">
        <f t="shared" si="3"/>
        <v>45</v>
      </c>
      <c r="AE29">
        <v>49</v>
      </c>
      <c r="AF29">
        <v>53</v>
      </c>
    </row>
    <row r="30" spans="1:51">
      <c r="A30" t="s">
        <v>107</v>
      </c>
      <c r="C30" t="str">
        <f>CONCATENATE(C13,K13)</f>
        <v>11000011110000000011001110100011001111110000110011111010</v>
      </c>
      <c r="S30" t="str">
        <f>MID($C30,S$29,4)</f>
        <v>1100</v>
      </c>
      <c r="T30" t="str">
        <f t="shared" ref="T30:AE45" si="4">MID($C30,T$29,4)</f>
        <v>0011</v>
      </c>
      <c r="U30" t="str">
        <f t="shared" si="4"/>
        <v>1100</v>
      </c>
      <c r="V30" t="str">
        <f t="shared" si="4"/>
        <v>0000</v>
      </c>
      <c r="W30" t="str">
        <f t="shared" si="4"/>
        <v>0011</v>
      </c>
      <c r="X30" t="str">
        <f t="shared" si="4"/>
        <v>0011</v>
      </c>
      <c r="Y30" t="str">
        <f t="shared" si="4"/>
        <v>1010</v>
      </c>
      <c r="Z30" t="str">
        <f t="shared" si="4"/>
        <v>0011</v>
      </c>
      <c r="AA30" t="str">
        <f t="shared" si="4"/>
        <v>0011</v>
      </c>
      <c r="AB30" t="str">
        <f t="shared" si="4"/>
        <v>1111</v>
      </c>
      <c r="AC30" t="str">
        <f t="shared" si="4"/>
        <v>0000</v>
      </c>
      <c r="AD30" t="str">
        <f t="shared" si="4"/>
        <v>1100</v>
      </c>
      <c r="AE30" t="str">
        <f>MID($C30,AE$29,4)</f>
        <v>1111</v>
      </c>
      <c r="AF30" t="str">
        <f t="shared" ref="AF30:AF45" si="5">MID($C30,AF$29,4)</f>
        <v>1010</v>
      </c>
      <c r="AG30" s="2" t="str">
        <f>BIN2HEX(S30)</f>
        <v>C</v>
      </c>
      <c r="AH30" s="2" t="str">
        <f t="shared" ref="AH30:AR30" si="6">BIN2HEX(T30)</f>
        <v>3</v>
      </c>
      <c r="AI30" s="2" t="str">
        <f t="shared" si="6"/>
        <v>C</v>
      </c>
      <c r="AJ30" s="2" t="str">
        <f t="shared" si="6"/>
        <v>0</v>
      </c>
      <c r="AK30" s="2" t="str">
        <f t="shared" si="6"/>
        <v>3</v>
      </c>
      <c r="AL30" s="2" t="str">
        <f t="shared" si="6"/>
        <v>3</v>
      </c>
      <c r="AM30" s="2" t="str">
        <f t="shared" si="6"/>
        <v>A</v>
      </c>
      <c r="AN30" s="2" t="str">
        <f t="shared" si="6"/>
        <v>3</v>
      </c>
      <c r="AO30" s="2" t="str">
        <f t="shared" si="6"/>
        <v>3</v>
      </c>
      <c r="AP30" s="2" t="str">
        <f t="shared" si="6"/>
        <v>F</v>
      </c>
      <c r="AQ30" s="2" t="str">
        <f t="shared" si="6"/>
        <v>0</v>
      </c>
      <c r="AR30" s="2" t="str">
        <f t="shared" si="6"/>
        <v>C</v>
      </c>
      <c r="AS30" s="2" t="str">
        <f>BIN2HEX(AE30)</f>
        <v>F</v>
      </c>
      <c r="AT30" s="2" t="str">
        <f>BIN2HEX(AF30)</f>
        <v>A</v>
      </c>
      <c r="AU30" s="2"/>
      <c r="AV30" s="2"/>
      <c r="AW30" s="2"/>
      <c r="AX30" s="2"/>
      <c r="AY30" s="2"/>
    </row>
    <row r="31" spans="1:51">
      <c r="A31" t="s">
        <v>108</v>
      </c>
      <c r="C31" t="str">
        <f t="shared" ref="C31:C45" si="7">CONCATENATE(C14,K14)</f>
        <v>10000111100000000110011101010110011111100001100111110100</v>
      </c>
      <c r="S31" t="str">
        <f t="shared" ref="S31:AF46" si="8">MID($C31,S$29,4)</f>
        <v>1000</v>
      </c>
      <c r="T31" t="str">
        <f t="shared" si="4"/>
        <v>0111</v>
      </c>
      <c r="U31" t="str">
        <f t="shared" si="4"/>
        <v>1000</v>
      </c>
      <c r="V31" t="str">
        <f t="shared" si="4"/>
        <v>0000</v>
      </c>
      <c r="W31" t="str">
        <f t="shared" si="4"/>
        <v>0110</v>
      </c>
      <c r="X31" t="str">
        <f t="shared" si="4"/>
        <v>0111</v>
      </c>
      <c r="Y31" t="str">
        <f t="shared" si="4"/>
        <v>0101</v>
      </c>
      <c r="Z31" t="str">
        <f t="shared" si="4"/>
        <v>0110</v>
      </c>
      <c r="AA31" t="str">
        <f t="shared" si="4"/>
        <v>0111</v>
      </c>
      <c r="AB31" t="str">
        <f t="shared" si="4"/>
        <v>1110</v>
      </c>
      <c r="AC31" t="str">
        <f t="shared" si="4"/>
        <v>0001</v>
      </c>
      <c r="AD31" t="str">
        <f t="shared" si="4"/>
        <v>1001</v>
      </c>
      <c r="AE31" t="str">
        <f t="shared" si="4"/>
        <v>1111</v>
      </c>
      <c r="AF31" t="str">
        <f t="shared" si="5"/>
        <v>0100</v>
      </c>
      <c r="AG31" s="2" t="str">
        <f t="shared" ref="AG31:AG46" si="9">BIN2HEX(S31)</f>
        <v>8</v>
      </c>
      <c r="AH31" s="2" t="str">
        <f t="shared" ref="AH31:AH46" si="10">BIN2HEX(T31)</f>
        <v>7</v>
      </c>
      <c r="AI31" s="2" t="str">
        <f t="shared" ref="AI31:AI46" si="11">BIN2HEX(U31)</f>
        <v>8</v>
      </c>
      <c r="AJ31" s="2" t="str">
        <f t="shared" ref="AJ31:AJ46" si="12">BIN2HEX(V31)</f>
        <v>0</v>
      </c>
      <c r="AK31" s="2" t="str">
        <f t="shared" ref="AK31:AK46" si="13">BIN2HEX(W31)</f>
        <v>6</v>
      </c>
      <c r="AL31" s="2" t="str">
        <f t="shared" ref="AL31:AL46" si="14">BIN2HEX(X31)</f>
        <v>7</v>
      </c>
      <c r="AM31" s="2" t="str">
        <f t="shared" ref="AM31:AM46" si="15">BIN2HEX(Y31)</f>
        <v>5</v>
      </c>
      <c r="AN31" s="2" t="str">
        <f t="shared" ref="AN31:AN46" si="16">BIN2HEX(Z31)</f>
        <v>6</v>
      </c>
      <c r="AO31" s="2" t="str">
        <f t="shared" ref="AO31:AO46" si="17">BIN2HEX(AA31)</f>
        <v>7</v>
      </c>
      <c r="AP31" s="2" t="str">
        <f t="shared" ref="AP31:AP46" si="18">BIN2HEX(AB31)</f>
        <v>E</v>
      </c>
      <c r="AQ31" s="2" t="str">
        <f t="shared" ref="AQ31:AQ46" si="19">BIN2HEX(AC31)</f>
        <v>1</v>
      </c>
      <c r="AR31" s="2" t="str">
        <f t="shared" ref="AR31:AR46" si="20">BIN2HEX(AD31)</f>
        <v>9</v>
      </c>
      <c r="AS31" s="2" t="str">
        <f t="shared" ref="AS31:AS46" si="21">BIN2HEX(AE31)</f>
        <v>F</v>
      </c>
      <c r="AT31" s="2" t="str">
        <f t="shared" ref="AT31:AT46" si="22">BIN2HEX(AF31)</f>
        <v>4</v>
      </c>
    </row>
    <row r="32" spans="1:51">
      <c r="A32" t="s">
        <v>109</v>
      </c>
      <c r="C32" t="str">
        <f t="shared" si="7"/>
        <v>00001111000000001100111010111100111111000011001111101000</v>
      </c>
      <c r="S32" t="str">
        <f t="shared" si="8"/>
        <v>0000</v>
      </c>
      <c r="T32" t="str">
        <f t="shared" si="4"/>
        <v>1111</v>
      </c>
      <c r="U32" t="str">
        <f t="shared" si="4"/>
        <v>0000</v>
      </c>
      <c r="V32" t="str">
        <f t="shared" si="4"/>
        <v>0000</v>
      </c>
      <c r="W32" t="str">
        <f t="shared" si="4"/>
        <v>1100</v>
      </c>
      <c r="X32" t="str">
        <f t="shared" si="4"/>
        <v>1110</v>
      </c>
      <c r="Y32" t="str">
        <f t="shared" si="4"/>
        <v>1011</v>
      </c>
      <c r="Z32" t="str">
        <f t="shared" si="4"/>
        <v>1100</v>
      </c>
      <c r="AA32" t="str">
        <f t="shared" si="4"/>
        <v>1111</v>
      </c>
      <c r="AB32" t="str">
        <f t="shared" si="4"/>
        <v>1100</v>
      </c>
      <c r="AC32" t="str">
        <f t="shared" si="4"/>
        <v>0011</v>
      </c>
      <c r="AD32" t="str">
        <f t="shared" si="4"/>
        <v>0011</v>
      </c>
      <c r="AE32" t="str">
        <f t="shared" si="4"/>
        <v>1110</v>
      </c>
      <c r="AF32" t="str">
        <f t="shared" si="5"/>
        <v>1000</v>
      </c>
      <c r="AG32" s="2" t="str">
        <f t="shared" si="9"/>
        <v>0</v>
      </c>
      <c r="AH32" s="2" t="str">
        <f t="shared" si="10"/>
        <v>F</v>
      </c>
      <c r="AI32" s="2" t="str">
        <f t="shared" si="11"/>
        <v>0</v>
      </c>
      <c r="AJ32" s="2" t="str">
        <f t="shared" si="12"/>
        <v>0</v>
      </c>
      <c r="AK32" s="2" t="str">
        <f t="shared" si="13"/>
        <v>C</v>
      </c>
      <c r="AL32" s="2" t="str">
        <f t="shared" si="14"/>
        <v>E</v>
      </c>
      <c r="AM32" s="2" t="str">
        <f t="shared" si="15"/>
        <v>B</v>
      </c>
      <c r="AN32" s="2" t="str">
        <f t="shared" si="16"/>
        <v>C</v>
      </c>
      <c r="AO32" s="2" t="str">
        <f t="shared" si="17"/>
        <v>F</v>
      </c>
      <c r="AP32" s="2" t="str">
        <f t="shared" si="18"/>
        <v>C</v>
      </c>
      <c r="AQ32" s="2" t="str">
        <f t="shared" si="19"/>
        <v>3</v>
      </c>
      <c r="AR32" s="2" t="str">
        <f t="shared" si="20"/>
        <v>3</v>
      </c>
      <c r="AS32" s="2" t="str">
        <f t="shared" si="21"/>
        <v>E</v>
      </c>
      <c r="AT32" s="2" t="str">
        <f t="shared" si="22"/>
        <v>8</v>
      </c>
    </row>
    <row r="33" spans="1:46">
      <c r="A33" t="s">
        <v>110</v>
      </c>
      <c r="C33" t="str">
        <f t="shared" si="7"/>
        <v>00111100000000110011101011000011111100001100111110100011</v>
      </c>
      <c r="S33" t="str">
        <f t="shared" si="8"/>
        <v>0011</v>
      </c>
      <c r="T33" t="str">
        <f t="shared" si="4"/>
        <v>1100</v>
      </c>
      <c r="U33" t="str">
        <f t="shared" si="4"/>
        <v>0000</v>
      </c>
      <c r="V33" t="str">
        <f t="shared" si="4"/>
        <v>0011</v>
      </c>
      <c r="W33" t="str">
        <f t="shared" si="4"/>
        <v>0011</v>
      </c>
      <c r="X33" t="str">
        <f t="shared" si="4"/>
        <v>1010</v>
      </c>
      <c r="Y33" t="str">
        <f t="shared" si="4"/>
        <v>1100</v>
      </c>
      <c r="Z33" t="str">
        <f t="shared" si="4"/>
        <v>0011</v>
      </c>
      <c r="AA33" t="str">
        <f t="shared" si="4"/>
        <v>1111</v>
      </c>
      <c r="AB33" t="str">
        <f t="shared" si="4"/>
        <v>0000</v>
      </c>
      <c r="AC33" t="str">
        <f t="shared" si="4"/>
        <v>1100</v>
      </c>
      <c r="AD33" t="str">
        <f t="shared" si="4"/>
        <v>1111</v>
      </c>
      <c r="AE33" t="str">
        <f t="shared" si="4"/>
        <v>1010</v>
      </c>
      <c r="AF33" t="str">
        <f t="shared" si="5"/>
        <v>0011</v>
      </c>
      <c r="AG33" s="2" t="str">
        <f t="shared" si="9"/>
        <v>3</v>
      </c>
      <c r="AH33" s="2" t="str">
        <f t="shared" si="10"/>
        <v>C</v>
      </c>
      <c r="AI33" s="2" t="str">
        <f t="shared" si="11"/>
        <v>0</v>
      </c>
      <c r="AJ33" s="2" t="str">
        <f t="shared" si="12"/>
        <v>3</v>
      </c>
      <c r="AK33" s="2" t="str">
        <f t="shared" si="13"/>
        <v>3</v>
      </c>
      <c r="AL33" s="2" t="str">
        <f t="shared" si="14"/>
        <v>A</v>
      </c>
      <c r="AM33" s="2" t="str">
        <f t="shared" si="15"/>
        <v>C</v>
      </c>
      <c r="AN33" s="2" t="str">
        <f t="shared" si="16"/>
        <v>3</v>
      </c>
      <c r="AO33" s="2" t="str">
        <f t="shared" si="17"/>
        <v>F</v>
      </c>
      <c r="AP33" s="2" t="str">
        <f t="shared" si="18"/>
        <v>0</v>
      </c>
      <c r="AQ33" s="2" t="str">
        <f t="shared" si="19"/>
        <v>C</v>
      </c>
      <c r="AR33" s="2" t="str">
        <f t="shared" si="20"/>
        <v>F</v>
      </c>
      <c r="AS33" s="2" t="str">
        <f t="shared" si="21"/>
        <v>A</v>
      </c>
      <c r="AT33" s="2" t="str">
        <f t="shared" si="22"/>
        <v>3</v>
      </c>
    </row>
    <row r="34" spans="1:46">
      <c r="A34" t="s">
        <v>111</v>
      </c>
      <c r="C34" t="str">
        <f t="shared" si="7"/>
        <v>11110000000011001110101100001111110000110011111010001100</v>
      </c>
      <c r="S34" t="str">
        <f t="shared" si="8"/>
        <v>1111</v>
      </c>
      <c r="T34" t="str">
        <f t="shared" si="4"/>
        <v>0000</v>
      </c>
      <c r="U34" t="str">
        <f t="shared" si="4"/>
        <v>0000</v>
      </c>
      <c r="V34" t="str">
        <f t="shared" si="4"/>
        <v>1100</v>
      </c>
      <c r="W34" t="str">
        <f t="shared" si="4"/>
        <v>1110</v>
      </c>
      <c r="X34" t="str">
        <f t="shared" si="4"/>
        <v>1011</v>
      </c>
      <c r="Y34" t="str">
        <f t="shared" si="4"/>
        <v>0000</v>
      </c>
      <c r="Z34" t="str">
        <f t="shared" si="4"/>
        <v>1111</v>
      </c>
      <c r="AA34" t="str">
        <f t="shared" si="4"/>
        <v>1100</v>
      </c>
      <c r="AB34" t="str">
        <f t="shared" si="4"/>
        <v>0011</v>
      </c>
      <c r="AC34" t="str">
        <f t="shared" si="4"/>
        <v>0011</v>
      </c>
      <c r="AD34" t="str">
        <f t="shared" si="4"/>
        <v>1110</v>
      </c>
      <c r="AE34" t="str">
        <f t="shared" si="4"/>
        <v>1000</v>
      </c>
      <c r="AF34" t="str">
        <f t="shared" si="5"/>
        <v>1100</v>
      </c>
      <c r="AG34" s="2" t="str">
        <f t="shared" si="9"/>
        <v>F</v>
      </c>
      <c r="AH34" s="2" t="str">
        <f t="shared" si="10"/>
        <v>0</v>
      </c>
      <c r="AI34" s="2" t="str">
        <f t="shared" si="11"/>
        <v>0</v>
      </c>
      <c r="AJ34" s="2" t="str">
        <f t="shared" si="12"/>
        <v>C</v>
      </c>
      <c r="AK34" s="2" t="str">
        <f t="shared" si="13"/>
        <v>E</v>
      </c>
      <c r="AL34" s="2" t="str">
        <f t="shared" si="14"/>
        <v>B</v>
      </c>
      <c r="AM34" s="2" t="str">
        <f t="shared" si="15"/>
        <v>0</v>
      </c>
      <c r="AN34" s="2" t="str">
        <f t="shared" si="16"/>
        <v>F</v>
      </c>
      <c r="AO34" s="2" t="str">
        <f t="shared" si="17"/>
        <v>C</v>
      </c>
      <c r="AP34" s="2" t="str">
        <f t="shared" si="18"/>
        <v>3</v>
      </c>
      <c r="AQ34" s="2" t="str">
        <f t="shared" si="19"/>
        <v>3</v>
      </c>
      <c r="AR34" s="2" t="str">
        <f t="shared" si="20"/>
        <v>E</v>
      </c>
      <c r="AS34" s="2" t="str">
        <f t="shared" si="21"/>
        <v>8</v>
      </c>
      <c r="AT34" s="2" t="str">
        <f t="shared" si="22"/>
        <v>C</v>
      </c>
    </row>
    <row r="35" spans="1:46">
      <c r="A35" t="s">
        <v>112</v>
      </c>
      <c r="C35" t="str">
        <f t="shared" si="7"/>
        <v>11000000001100111010110000111111000011001111101000110011</v>
      </c>
      <c r="S35" t="str">
        <f t="shared" si="8"/>
        <v>1100</v>
      </c>
      <c r="T35" t="str">
        <f t="shared" si="4"/>
        <v>0000</v>
      </c>
      <c r="U35" t="str">
        <f t="shared" si="4"/>
        <v>0011</v>
      </c>
      <c r="V35" t="str">
        <f t="shared" si="4"/>
        <v>0011</v>
      </c>
      <c r="W35" t="str">
        <f t="shared" si="4"/>
        <v>1010</v>
      </c>
      <c r="X35" t="str">
        <f t="shared" si="4"/>
        <v>1100</v>
      </c>
      <c r="Y35" t="str">
        <f t="shared" si="4"/>
        <v>0011</v>
      </c>
      <c r="Z35" t="str">
        <f t="shared" si="4"/>
        <v>1111</v>
      </c>
      <c r="AA35" t="str">
        <f t="shared" si="4"/>
        <v>0000</v>
      </c>
      <c r="AB35" t="str">
        <f t="shared" si="4"/>
        <v>1100</v>
      </c>
      <c r="AC35" t="str">
        <f t="shared" si="4"/>
        <v>1111</v>
      </c>
      <c r="AD35" t="str">
        <f t="shared" si="4"/>
        <v>1010</v>
      </c>
      <c r="AE35" t="str">
        <f t="shared" si="4"/>
        <v>0011</v>
      </c>
      <c r="AF35" t="str">
        <f t="shared" si="5"/>
        <v>0011</v>
      </c>
      <c r="AG35" s="2" t="str">
        <f t="shared" si="9"/>
        <v>C</v>
      </c>
      <c r="AH35" s="2" t="str">
        <f t="shared" si="10"/>
        <v>0</v>
      </c>
      <c r="AI35" s="2" t="str">
        <f t="shared" si="11"/>
        <v>3</v>
      </c>
      <c r="AJ35" s="2" t="str">
        <f t="shared" si="12"/>
        <v>3</v>
      </c>
      <c r="AK35" s="2" t="str">
        <f t="shared" si="13"/>
        <v>A</v>
      </c>
      <c r="AL35" s="2" t="str">
        <f t="shared" si="14"/>
        <v>C</v>
      </c>
      <c r="AM35" s="2" t="str">
        <f t="shared" si="15"/>
        <v>3</v>
      </c>
      <c r="AN35" s="2" t="str">
        <f t="shared" si="16"/>
        <v>F</v>
      </c>
      <c r="AO35" s="2" t="str">
        <f t="shared" si="17"/>
        <v>0</v>
      </c>
      <c r="AP35" s="2" t="str">
        <f t="shared" si="18"/>
        <v>C</v>
      </c>
      <c r="AQ35" s="2" t="str">
        <f t="shared" si="19"/>
        <v>F</v>
      </c>
      <c r="AR35" s="2" t="str">
        <f t="shared" si="20"/>
        <v>A</v>
      </c>
      <c r="AS35" s="2" t="str">
        <f t="shared" si="21"/>
        <v>3</v>
      </c>
      <c r="AT35" s="2" t="str">
        <f t="shared" si="22"/>
        <v>3</v>
      </c>
    </row>
    <row r="36" spans="1:46">
      <c r="A36" t="s">
        <v>113</v>
      </c>
      <c r="C36" t="str">
        <f t="shared" si="7"/>
        <v>00000000110011101011000011111100001100111110100011001111</v>
      </c>
      <c r="S36" t="str">
        <f t="shared" si="8"/>
        <v>0000</v>
      </c>
      <c r="T36" t="str">
        <f t="shared" si="4"/>
        <v>0000</v>
      </c>
      <c r="U36" t="str">
        <f t="shared" si="4"/>
        <v>1100</v>
      </c>
      <c r="V36" t="str">
        <f t="shared" si="4"/>
        <v>1110</v>
      </c>
      <c r="W36" t="str">
        <f t="shared" si="4"/>
        <v>1011</v>
      </c>
      <c r="X36" t="str">
        <f t="shared" si="4"/>
        <v>0000</v>
      </c>
      <c r="Y36" t="str">
        <f t="shared" si="4"/>
        <v>1111</v>
      </c>
      <c r="Z36" t="str">
        <f t="shared" si="4"/>
        <v>1100</v>
      </c>
      <c r="AA36" t="str">
        <f t="shared" si="4"/>
        <v>0011</v>
      </c>
      <c r="AB36" t="str">
        <f t="shared" si="4"/>
        <v>0011</v>
      </c>
      <c r="AC36" t="str">
        <f t="shared" si="4"/>
        <v>1110</v>
      </c>
      <c r="AD36" t="str">
        <f t="shared" si="4"/>
        <v>1000</v>
      </c>
      <c r="AE36" t="str">
        <f t="shared" si="4"/>
        <v>1100</v>
      </c>
      <c r="AF36" t="str">
        <f t="shared" si="5"/>
        <v>1111</v>
      </c>
      <c r="AG36" s="2" t="str">
        <f t="shared" si="9"/>
        <v>0</v>
      </c>
      <c r="AH36" s="2" t="str">
        <f t="shared" si="10"/>
        <v>0</v>
      </c>
      <c r="AI36" s="2" t="str">
        <f t="shared" si="11"/>
        <v>C</v>
      </c>
      <c r="AJ36" s="2" t="str">
        <f t="shared" si="12"/>
        <v>E</v>
      </c>
      <c r="AK36" s="2" t="str">
        <f t="shared" si="13"/>
        <v>B</v>
      </c>
      <c r="AL36" s="2" t="str">
        <f t="shared" si="14"/>
        <v>0</v>
      </c>
      <c r="AM36" s="2" t="str">
        <f t="shared" si="15"/>
        <v>F</v>
      </c>
      <c r="AN36" s="2" t="str">
        <f t="shared" si="16"/>
        <v>C</v>
      </c>
      <c r="AO36" s="2" t="str">
        <f t="shared" si="17"/>
        <v>3</v>
      </c>
      <c r="AP36" s="2" t="str">
        <f t="shared" si="18"/>
        <v>3</v>
      </c>
      <c r="AQ36" s="2" t="str">
        <f t="shared" si="19"/>
        <v>E</v>
      </c>
      <c r="AR36" s="2" t="str">
        <f t="shared" si="20"/>
        <v>8</v>
      </c>
      <c r="AS36" s="2" t="str">
        <f t="shared" si="21"/>
        <v>C</v>
      </c>
      <c r="AT36" s="2" t="str">
        <f t="shared" si="22"/>
        <v>F</v>
      </c>
    </row>
    <row r="37" spans="1:46">
      <c r="A37" t="s">
        <v>114</v>
      </c>
      <c r="C37" t="str">
        <f t="shared" si="7"/>
        <v>00000011001110101100001111000000110011111010001100111111</v>
      </c>
      <c r="S37" t="str">
        <f t="shared" si="8"/>
        <v>0000</v>
      </c>
      <c r="T37" t="str">
        <f t="shared" si="4"/>
        <v>0011</v>
      </c>
      <c r="U37" t="str">
        <f t="shared" si="4"/>
        <v>0011</v>
      </c>
      <c r="V37" t="str">
        <f t="shared" si="4"/>
        <v>1010</v>
      </c>
      <c r="W37" t="str">
        <f t="shared" si="4"/>
        <v>1100</v>
      </c>
      <c r="X37" t="str">
        <f t="shared" si="4"/>
        <v>0011</v>
      </c>
      <c r="Y37" t="str">
        <f t="shared" si="4"/>
        <v>1100</v>
      </c>
      <c r="Z37" t="str">
        <f t="shared" si="4"/>
        <v>0000</v>
      </c>
      <c r="AA37" t="str">
        <f t="shared" si="4"/>
        <v>1100</v>
      </c>
      <c r="AB37" t="str">
        <f t="shared" si="4"/>
        <v>1111</v>
      </c>
      <c r="AC37" t="str">
        <f t="shared" si="4"/>
        <v>1010</v>
      </c>
      <c r="AD37" t="str">
        <f t="shared" si="4"/>
        <v>0011</v>
      </c>
      <c r="AE37" t="str">
        <f t="shared" si="4"/>
        <v>0011</v>
      </c>
      <c r="AF37" t="str">
        <f t="shared" si="5"/>
        <v>1111</v>
      </c>
      <c r="AG37" s="2" t="str">
        <f t="shared" si="9"/>
        <v>0</v>
      </c>
      <c r="AH37" s="2" t="str">
        <f t="shared" si="10"/>
        <v>3</v>
      </c>
      <c r="AI37" s="2" t="str">
        <f t="shared" si="11"/>
        <v>3</v>
      </c>
      <c r="AJ37" s="2" t="str">
        <f t="shared" si="12"/>
        <v>A</v>
      </c>
      <c r="AK37" s="2" t="str">
        <f t="shared" si="13"/>
        <v>C</v>
      </c>
      <c r="AL37" s="2" t="str">
        <f t="shared" si="14"/>
        <v>3</v>
      </c>
      <c r="AM37" s="2" t="str">
        <f t="shared" si="15"/>
        <v>C</v>
      </c>
      <c r="AN37" s="2" t="str">
        <f t="shared" si="16"/>
        <v>0</v>
      </c>
      <c r="AO37" s="2" t="str">
        <f t="shared" si="17"/>
        <v>C</v>
      </c>
      <c r="AP37" s="2" t="str">
        <f t="shared" si="18"/>
        <v>F</v>
      </c>
      <c r="AQ37" s="2" t="str">
        <f t="shared" si="19"/>
        <v>A</v>
      </c>
      <c r="AR37" s="2" t="str">
        <f t="shared" si="20"/>
        <v>3</v>
      </c>
      <c r="AS37" s="2" t="str">
        <f t="shared" si="21"/>
        <v>3</v>
      </c>
      <c r="AT37" s="2" t="str">
        <f t="shared" si="22"/>
        <v>F</v>
      </c>
    </row>
    <row r="38" spans="1:46">
      <c r="A38" t="s">
        <v>115</v>
      </c>
      <c r="C38" t="str">
        <f t="shared" si="7"/>
        <v>00001100111010110000111100000011001111101000110011111100</v>
      </c>
      <c r="S38" t="str">
        <f t="shared" si="8"/>
        <v>0000</v>
      </c>
      <c r="T38" t="str">
        <f t="shared" si="4"/>
        <v>1100</v>
      </c>
      <c r="U38" t="str">
        <f t="shared" si="4"/>
        <v>1110</v>
      </c>
      <c r="V38" t="str">
        <f t="shared" si="4"/>
        <v>1011</v>
      </c>
      <c r="W38" t="str">
        <f t="shared" si="4"/>
        <v>0000</v>
      </c>
      <c r="X38" t="str">
        <f t="shared" si="4"/>
        <v>1111</v>
      </c>
      <c r="Y38" t="str">
        <f t="shared" si="4"/>
        <v>0000</v>
      </c>
      <c r="Z38" t="str">
        <f t="shared" si="4"/>
        <v>0011</v>
      </c>
      <c r="AA38" t="str">
        <f t="shared" si="4"/>
        <v>0011</v>
      </c>
      <c r="AB38" t="str">
        <f t="shared" si="4"/>
        <v>1110</v>
      </c>
      <c r="AC38" t="str">
        <f t="shared" si="4"/>
        <v>1000</v>
      </c>
      <c r="AD38" t="str">
        <f t="shared" si="4"/>
        <v>1100</v>
      </c>
      <c r="AE38" t="str">
        <f t="shared" si="4"/>
        <v>1111</v>
      </c>
      <c r="AF38" t="str">
        <f t="shared" si="5"/>
        <v>1100</v>
      </c>
      <c r="AG38" s="2" t="str">
        <f t="shared" si="9"/>
        <v>0</v>
      </c>
      <c r="AH38" s="2" t="str">
        <f t="shared" si="10"/>
        <v>C</v>
      </c>
      <c r="AI38" s="2" t="str">
        <f t="shared" si="11"/>
        <v>E</v>
      </c>
      <c r="AJ38" s="2" t="str">
        <f t="shared" si="12"/>
        <v>B</v>
      </c>
      <c r="AK38" s="2" t="str">
        <f t="shared" si="13"/>
        <v>0</v>
      </c>
      <c r="AL38" s="2" t="str">
        <f t="shared" si="14"/>
        <v>F</v>
      </c>
      <c r="AM38" s="2" t="str">
        <f t="shared" si="15"/>
        <v>0</v>
      </c>
      <c r="AN38" s="2" t="str">
        <f t="shared" si="16"/>
        <v>3</v>
      </c>
      <c r="AO38" s="2" t="str">
        <f t="shared" si="17"/>
        <v>3</v>
      </c>
      <c r="AP38" s="2" t="str">
        <f t="shared" si="18"/>
        <v>E</v>
      </c>
      <c r="AQ38" s="2" t="str">
        <f t="shared" si="19"/>
        <v>8</v>
      </c>
      <c r="AR38" s="2" t="str">
        <f t="shared" si="20"/>
        <v>C</v>
      </c>
      <c r="AS38" s="2" t="str">
        <f t="shared" si="21"/>
        <v>F</v>
      </c>
      <c r="AT38" s="2" t="str">
        <f t="shared" si="22"/>
        <v>C</v>
      </c>
    </row>
    <row r="39" spans="1:46">
      <c r="A39" t="s">
        <v>116</v>
      </c>
      <c r="C39" t="str">
        <f t="shared" si="7"/>
        <v>00011001110101100001111000000110011111010001100111111000</v>
      </c>
      <c r="S39" t="str">
        <f t="shared" si="8"/>
        <v>0001</v>
      </c>
      <c r="T39" t="str">
        <f t="shared" si="4"/>
        <v>1001</v>
      </c>
      <c r="U39" t="str">
        <f t="shared" si="4"/>
        <v>1101</v>
      </c>
      <c r="V39" t="str">
        <f t="shared" si="4"/>
        <v>0110</v>
      </c>
      <c r="W39" t="str">
        <f t="shared" si="4"/>
        <v>0001</v>
      </c>
      <c r="X39" t="str">
        <f t="shared" si="4"/>
        <v>1110</v>
      </c>
      <c r="Y39" t="str">
        <f t="shared" si="4"/>
        <v>0000</v>
      </c>
      <c r="Z39" t="str">
        <f t="shared" si="4"/>
        <v>0110</v>
      </c>
      <c r="AA39" t="str">
        <f t="shared" si="4"/>
        <v>0111</v>
      </c>
      <c r="AB39" t="str">
        <f t="shared" si="4"/>
        <v>1101</v>
      </c>
      <c r="AC39" t="str">
        <f t="shared" si="4"/>
        <v>0001</v>
      </c>
      <c r="AD39" t="str">
        <f t="shared" si="4"/>
        <v>1001</v>
      </c>
      <c r="AE39" t="str">
        <f t="shared" si="4"/>
        <v>1111</v>
      </c>
      <c r="AF39" t="str">
        <f t="shared" si="5"/>
        <v>1000</v>
      </c>
      <c r="AG39" s="2" t="str">
        <f t="shared" si="9"/>
        <v>1</v>
      </c>
      <c r="AH39" s="2" t="str">
        <f t="shared" si="10"/>
        <v>9</v>
      </c>
      <c r="AI39" s="2" t="str">
        <f t="shared" si="11"/>
        <v>D</v>
      </c>
      <c r="AJ39" s="2" t="str">
        <f t="shared" si="12"/>
        <v>6</v>
      </c>
      <c r="AK39" s="2" t="str">
        <f t="shared" si="13"/>
        <v>1</v>
      </c>
      <c r="AL39" s="2" t="str">
        <f t="shared" si="14"/>
        <v>E</v>
      </c>
      <c r="AM39" s="2" t="str">
        <f t="shared" si="15"/>
        <v>0</v>
      </c>
      <c r="AN39" s="2" t="str">
        <f t="shared" si="16"/>
        <v>6</v>
      </c>
      <c r="AO39" s="2" t="str">
        <f t="shared" si="17"/>
        <v>7</v>
      </c>
      <c r="AP39" s="2" t="str">
        <f t="shared" si="18"/>
        <v>D</v>
      </c>
      <c r="AQ39" s="2" t="str">
        <f t="shared" si="19"/>
        <v>1</v>
      </c>
      <c r="AR39" s="2" t="str">
        <f t="shared" si="20"/>
        <v>9</v>
      </c>
      <c r="AS39" s="2" t="str">
        <f t="shared" si="21"/>
        <v>F</v>
      </c>
      <c r="AT39" s="2" t="str">
        <f t="shared" si="22"/>
        <v>8</v>
      </c>
    </row>
    <row r="40" spans="1:46">
      <c r="A40" t="s">
        <v>117</v>
      </c>
      <c r="C40" t="str">
        <f t="shared" si="7"/>
        <v>01100111010110000111100000001001111101000110011111100001</v>
      </c>
      <c r="S40" t="str">
        <f t="shared" si="8"/>
        <v>0110</v>
      </c>
      <c r="T40" t="str">
        <f t="shared" si="4"/>
        <v>0111</v>
      </c>
      <c r="U40" t="str">
        <f t="shared" si="4"/>
        <v>0101</v>
      </c>
      <c r="V40" t="str">
        <f t="shared" si="4"/>
        <v>1000</v>
      </c>
      <c r="W40" t="str">
        <f t="shared" si="4"/>
        <v>0111</v>
      </c>
      <c r="X40" t="str">
        <f t="shared" si="4"/>
        <v>1000</v>
      </c>
      <c r="Y40" t="str">
        <f t="shared" si="4"/>
        <v>0000</v>
      </c>
      <c r="Z40" t="str">
        <f t="shared" si="4"/>
        <v>1001</v>
      </c>
      <c r="AA40" t="str">
        <f t="shared" si="4"/>
        <v>1111</v>
      </c>
      <c r="AB40" t="str">
        <f t="shared" si="4"/>
        <v>0100</v>
      </c>
      <c r="AC40" t="str">
        <f t="shared" si="4"/>
        <v>0110</v>
      </c>
      <c r="AD40" t="str">
        <f t="shared" si="4"/>
        <v>0111</v>
      </c>
      <c r="AE40" t="str">
        <f t="shared" si="4"/>
        <v>1110</v>
      </c>
      <c r="AF40" t="str">
        <f t="shared" si="5"/>
        <v>0001</v>
      </c>
      <c r="AG40" s="2" t="str">
        <f t="shared" si="9"/>
        <v>6</v>
      </c>
      <c r="AH40" s="2" t="str">
        <f t="shared" si="10"/>
        <v>7</v>
      </c>
      <c r="AI40" s="2" t="str">
        <f t="shared" si="11"/>
        <v>5</v>
      </c>
      <c r="AJ40" s="2" t="str">
        <f t="shared" si="12"/>
        <v>8</v>
      </c>
      <c r="AK40" s="2" t="str">
        <f t="shared" si="13"/>
        <v>7</v>
      </c>
      <c r="AL40" s="2" t="str">
        <f t="shared" si="14"/>
        <v>8</v>
      </c>
      <c r="AM40" s="2" t="str">
        <f t="shared" si="15"/>
        <v>0</v>
      </c>
      <c r="AN40" s="2" t="str">
        <f t="shared" si="16"/>
        <v>9</v>
      </c>
      <c r="AO40" s="2" t="str">
        <f t="shared" si="17"/>
        <v>F</v>
      </c>
      <c r="AP40" s="2" t="str">
        <f t="shared" si="18"/>
        <v>4</v>
      </c>
      <c r="AQ40" s="2" t="str">
        <f t="shared" si="19"/>
        <v>6</v>
      </c>
      <c r="AR40" s="2" t="str">
        <f t="shared" si="20"/>
        <v>7</v>
      </c>
      <c r="AS40" s="2" t="str">
        <f t="shared" si="21"/>
        <v>E</v>
      </c>
      <c r="AT40" s="2" t="str">
        <f t="shared" si="22"/>
        <v>1</v>
      </c>
    </row>
    <row r="41" spans="1:46">
      <c r="A41" t="s">
        <v>118</v>
      </c>
      <c r="C41" t="str">
        <f t="shared" si="7"/>
        <v>10011101011000011110000000010111110100011001111110000110</v>
      </c>
      <c r="S41" t="str">
        <f t="shared" si="8"/>
        <v>1001</v>
      </c>
      <c r="T41" t="str">
        <f t="shared" si="4"/>
        <v>1101</v>
      </c>
      <c r="U41" t="str">
        <f t="shared" si="4"/>
        <v>0110</v>
      </c>
      <c r="V41" t="str">
        <f t="shared" si="4"/>
        <v>0001</v>
      </c>
      <c r="W41" t="str">
        <f t="shared" si="4"/>
        <v>1110</v>
      </c>
      <c r="X41" t="str">
        <f t="shared" si="4"/>
        <v>0000</v>
      </c>
      <c r="Y41" t="str">
        <f t="shared" si="4"/>
        <v>0001</v>
      </c>
      <c r="Z41" t="str">
        <f t="shared" si="4"/>
        <v>0111</v>
      </c>
      <c r="AA41" t="str">
        <f t="shared" si="4"/>
        <v>1101</v>
      </c>
      <c r="AB41" t="str">
        <f t="shared" si="4"/>
        <v>0001</v>
      </c>
      <c r="AC41" t="str">
        <f t="shared" si="4"/>
        <v>1001</v>
      </c>
      <c r="AD41" t="str">
        <f t="shared" si="4"/>
        <v>1111</v>
      </c>
      <c r="AE41" t="str">
        <f t="shared" si="4"/>
        <v>1000</v>
      </c>
      <c r="AF41" t="str">
        <f t="shared" si="5"/>
        <v>0110</v>
      </c>
      <c r="AG41" s="2" t="str">
        <f t="shared" si="9"/>
        <v>9</v>
      </c>
      <c r="AH41" s="2" t="str">
        <f t="shared" si="10"/>
        <v>D</v>
      </c>
      <c r="AI41" s="2" t="str">
        <f t="shared" si="11"/>
        <v>6</v>
      </c>
      <c r="AJ41" s="2" t="str">
        <f t="shared" si="12"/>
        <v>1</v>
      </c>
      <c r="AK41" s="2" t="str">
        <f t="shared" si="13"/>
        <v>E</v>
      </c>
      <c r="AL41" s="2" t="str">
        <f t="shared" si="14"/>
        <v>0</v>
      </c>
      <c r="AM41" s="2" t="str">
        <f t="shared" si="15"/>
        <v>1</v>
      </c>
      <c r="AN41" s="2" t="str">
        <f t="shared" si="16"/>
        <v>7</v>
      </c>
      <c r="AO41" s="2" t="str">
        <f t="shared" si="17"/>
        <v>D</v>
      </c>
      <c r="AP41" s="2" t="str">
        <f t="shared" si="18"/>
        <v>1</v>
      </c>
      <c r="AQ41" s="2" t="str">
        <f t="shared" si="19"/>
        <v>9</v>
      </c>
      <c r="AR41" s="2" t="str">
        <f t="shared" si="20"/>
        <v>F</v>
      </c>
      <c r="AS41" s="2" t="str">
        <f t="shared" si="21"/>
        <v>8</v>
      </c>
      <c r="AT41" s="2" t="str">
        <f t="shared" si="22"/>
        <v>6</v>
      </c>
    </row>
    <row r="42" spans="1:46">
      <c r="A42" t="s">
        <v>119</v>
      </c>
      <c r="C42" t="str">
        <f t="shared" si="7"/>
        <v>01110101100001111000000001101111010001100111111000011001</v>
      </c>
      <c r="S42" t="str">
        <f t="shared" si="8"/>
        <v>0111</v>
      </c>
      <c r="T42" t="str">
        <f t="shared" si="4"/>
        <v>0101</v>
      </c>
      <c r="U42" t="str">
        <f t="shared" si="4"/>
        <v>1000</v>
      </c>
      <c r="V42" t="str">
        <f t="shared" si="4"/>
        <v>0111</v>
      </c>
      <c r="W42" t="str">
        <f t="shared" si="4"/>
        <v>1000</v>
      </c>
      <c r="X42" t="str">
        <f t="shared" si="4"/>
        <v>0000</v>
      </c>
      <c r="Y42" t="str">
        <f t="shared" si="4"/>
        <v>0110</v>
      </c>
      <c r="Z42" t="str">
        <f t="shared" si="4"/>
        <v>1111</v>
      </c>
      <c r="AA42" t="str">
        <f t="shared" si="4"/>
        <v>0100</v>
      </c>
      <c r="AB42" t="str">
        <f t="shared" si="4"/>
        <v>0110</v>
      </c>
      <c r="AC42" t="str">
        <f t="shared" si="4"/>
        <v>0111</v>
      </c>
      <c r="AD42" t="str">
        <f t="shared" si="4"/>
        <v>1110</v>
      </c>
      <c r="AE42" t="str">
        <f t="shared" si="4"/>
        <v>0001</v>
      </c>
      <c r="AF42" t="str">
        <f t="shared" si="5"/>
        <v>1001</v>
      </c>
      <c r="AG42" s="2" t="str">
        <f t="shared" si="9"/>
        <v>7</v>
      </c>
      <c r="AH42" s="2" t="str">
        <f t="shared" si="10"/>
        <v>5</v>
      </c>
      <c r="AI42" s="2" t="str">
        <f t="shared" si="11"/>
        <v>8</v>
      </c>
      <c r="AJ42" s="2" t="str">
        <f t="shared" si="12"/>
        <v>7</v>
      </c>
      <c r="AK42" s="2" t="str">
        <f t="shared" si="13"/>
        <v>8</v>
      </c>
      <c r="AL42" s="2" t="str">
        <f t="shared" si="14"/>
        <v>0</v>
      </c>
      <c r="AM42" s="2" t="str">
        <f t="shared" si="15"/>
        <v>6</v>
      </c>
      <c r="AN42" s="2" t="str">
        <f t="shared" si="16"/>
        <v>F</v>
      </c>
      <c r="AO42" s="2" t="str">
        <f t="shared" si="17"/>
        <v>4</v>
      </c>
      <c r="AP42" s="2" t="str">
        <f t="shared" si="18"/>
        <v>6</v>
      </c>
      <c r="AQ42" s="2" t="str">
        <f t="shared" si="19"/>
        <v>7</v>
      </c>
      <c r="AR42" s="2" t="str">
        <f t="shared" si="20"/>
        <v>E</v>
      </c>
      <c r="AS42" s="2" t="str">
        <f t="shared" si="21"/>
        <v>1</v>
      </c>
      <c r="AT42" s="2" t="str">
        <f t="shared" si="22"/>
        <v>9</v>
      </c>
    </row>
    <row r="43" spans="1:46">
      <c r="A43" t="s">
        <v>120</v>
      </c>
      <c r="C43" t="str">
        <f t="shared" si="7"/>
        <v>11010110000111100000000110011101000110011111100001100111</v>
      </c>
      <c r="S43" t="str">
        <f t="shared" si="8"/>
        <v>1101</v>
      </c>
      <c r="T43" t="str">
        <f t="shared" si="4"/>
        <v>0110</v>
      </c>
      <c r="U43" t="str">
        <f t="shared" si="4"/>
        <v>0001</v>
      </c>
      <c r="V43" t="str">
        <f t="shared" si="4"/>
        <v>1110</v>
      </c>
      <c r="W43" t="str">
        <f t="shared" si="4"/>
        <v>0000</v>
      </c>
      <c r="X43" t="str">
        <f t="shared" si="4"/>
        <v>0001</v>
      </c>
      <c r="Y43" t="str">
        <f t="shared" si="4"/>
        <v>1001</v>
      </c>
      <c r="Z43" t="str">
        <f t="shared" si="4"/>
        <v>1101</v>
      </c>
      <c r="AA43" t="str">
        <f t="shared" si="4"/>
        <v>0001</v>
      </c>
      <c r="AB43" t="str">
        <f t="shared" si="4"/>
        <v>1001</v>
      </c>
      <c r="AC43" t="str">
        <f t="shared" si="4"/>
        <v>1111</v>
      </c>
      <c r="AD43" t="str">
        <f t="shared" si="4"/>
        <v>1000</v>
      </c>
      <c r="AE43" t="str">
        <f t="shared" si="4"/>
        <v>0110</v>
      </c>
      <c r="AF43" t="str">
        <f t="shared" si="5"/>
        <v>0111</v>
      </c>
      <c r="AG43" s="2" t="str">
        <f t="shared" si="9"/>
        <v>D</v>
      </c>
      <c r="AH43" s="2" t="str">
        <f t="shared" si="10"/>
        <v>6</v>
      </c>
      <c r="AI43" s="2" t="str">
        <f t="shared" si="11"/>
        <v>1</v>
      </c>
      <c r="AJ43" s="2" t="str">
        <f t="shared" si="12"/>
        <v>E</v>
      </c>
      <c r="AK43" s="2" t="str">
        <f t="shared" si="13"/>
        <v>0</v>
      </c>
      <c r="AL43" s="2" t="str">
        <f t="shared" si="14"/>
        <v>1</v>
      </c>
      <c r="AM43" s="2" t="str">
        <f t="shared" si="15"/>
        <v>9</v>
      </c>
      <c r="AN43" s="2" t="str">
        <f t="shared" si="16"/>
        <v>D</v>
      </c>
      <c r="AO43" s="2" t="str">
        <f t="shared" si="17"/>
        <v>1</v>
      </c>
      <c r="AP43" s="2" t="str">
        <f t="shared" si="18"/>
        <v>9</v>
      </c>
      <c r="AQ43" s="2" t="str">
        <f t="shared" si="19"/>
        <v>F</v>
      </c>
      <c r="AR43" s="2" t="str">
        <f t="shared" si="20"/>
        <v>8</v>
      </c>
      <c r="AS43" s="2" t="str">
        <f t="shared" si="21"/>
        <v>6</v>
      </c>
      <c r="AT43" s="2" t="str">
        <f t="shared" si="22"/>
        <v>7</v>
      </c>
    </row>
    <row r="44" spans="1:46">
      <c r="A44" t="s">
        <v>121</v>
      </c>
      <c r="C44" t="str">
        <f t="shared" si="7"/>
        <v>01011000011110000000011001110100011001111110000110011111</v>
      </c>
      <c r="S44" t="str">
        <f t="shared" si="8"/>
        <v>0101</v>
      </c>
      <c r="T44" t="str">
        <f t="shared" si="4"/>
        <v>1000</v>
      </c>
      <c r="U44" t="str">
        <f t="shared" si="4"/>
        <v>0111</v>
      </c>
      <c r="V44" t="str">
        <f t="shared" si="4"/>
        <v>1000</v>
      </c>
      <c r="W44" t="str">
        <f t="shared" si="4"/>
        <v>0000</v>
      </c>
      <c r="X44" t="str">
        <f t="shared" si="4"/>
        <v>0110</v>
      </c>
      <c r="Y44" t="str">
        <f t="shared" si="4"/>
        <v>0111</v>
      </c>
      <c r="Z44" t="str">
        <f t="shared" si="4"/>
        <v>0100</v>
      </c>
      <c r="AA44" t="str">
        <f t="shared" si="4"/>
        <v>0110</v>
      </c>
      <c r="AB44" t="str">
        <f t="shared" si="4"/>
        <v>0111</v>
      </c>
      <c r="AC44" t="str">
        <f t="shared" si="4"/>
        <v>1110</v>
      </c>
      <c r="AD44" t="str">
        <f t="shared" si="4"/>
        <v>0001</v>
      </c>
      <c r="AE44" t="str">
        <f t="shared" si="4"/>
        <v>1001</v>
      </c>
      <c r="AF44" t="str">
        <f t="shared" si="5"/>
        <v>1111</v>
      </c>
      <c r="AG44" s="2" t="str">
        <f t="shared" si="9"/>
        <v>5</v>
      </c>
      <c r="AH44" s="2" t="str">
        <f t="shared" si="10"/>
        <v>8</v>
      </c>
      <c r="AI44" s="2" t="str">
        <f t="shared" si="11"/>
        <v>7</v>
      </c>
      <c r="AJ44" s="2" t="str">
        <f t="shared" si="12"/>
        <v>8</v>
      </c>
      <c r="AK44" s="2" t="str">
        <f t="shared" si="13"/>
        <v>0</v>
      </c>
      <c r="AL44" s="2" t="str">
        <f t="shared" si="14"/>
        <v>6</v>
      </c>
      <c r="AM44" s="2" t="str">
        <f t="shared" si="15"/>
        <v>7</v>
      </c>
      <c r="AN44" s="2" t="str">
        <f t="shared" si="16"/>
        <v>4</v>
      </c>
      <c r="AO44" s="2" t="str">
        <f t="shared" si="17"/>
        <v>6</v>
      </c>
      <c r="AP44" s="2" t="str">
        <f t="shared" si="18"/>
        <v>7</v>
      </c>
      <c r="AQ44" s="2" t="str">
        <f t="shared" si="19"/>
        <v>E</v>
      </c>
      <c r="AR44" s="2" t="str">
        <f t="shared" si="20"/>
        <v>1</v>
      </c>
      <c r="AS44" s="2" t="str">
        <f t="shared" si="21"/>
        <v>9</v>
      </c>
      <c r="AT44" s="2" t="str">
        <f t="shared" si="22"/>
        <v>F</v>
      </c>
    </row>
    <row r="45" spans="1:46">
      <c r="A45" t="s">
        <v>122</v>
      </c>
      <c r="C45" t="str">
        <f t="shared" si="7"/>
        <v>01100001111000000001100111010001100111111000011001111101</v>
      </c>
      <c r="S45" t="str">
        <f t="shared" si="8"/>
        <v>0110</v>
      </c>
      <c r="T45" t="str">
        <f t="shared" si="4"/>
        <v>0001</v>
      </c>
      <c r="U45" t="str">
        <f t="shared" si="4"/>
        <v>1110</v>
      </c>
      <c r="V45" t="str">
        <f t="shared" si="4"/>
        <v>0000</v>
      </c>
      <c r="W45" t="str">
        <f t="shared" si="4"/>
        <v>0001</v>
      </c>
      <c r="X45" t="str">
        <f t="shared" si="4"/>
        <v>1001</v>
      </c>
      <c r="Y45" t="str">
        <f t="shared" si="4"/>
        <v>1101</v>
      </c>
      <c r="Z45" t="str">
        <f t="shared" si="4"/>
        <v>0001</v>
      </c>
      <c r="AA45" t="str">
        <f t="shared" si="4"/>
        <v>1001</v>
      </c>
      <c r="AB45" t="str">
        <f t="shared" si="4"/>
        <v>1111</v>
      </c>
      <c r="AC45" t="str">
        <f t="shared" si="4"/>
        <v>1000</v>
      </c>
      <c r="AD45" t="str">
        <f t="shared" si="4"/>
        <v>0110</v>
      </c>
      <c r="AE45" t="str">
        <f t="shared" si="4"/>
        <v>0111</v>
      </c>
      <c r="AF45" t="str">
        <f t="shared" si="5"/>
        <v>1101</v>
      </c>
      <c r="AG45" s="2" t="str">
        <f t="shared" si="9"/>
        <v>6</v>
      </c>
      <c r="AH45" s="2" t="str">
        <f t="shared" si="10"/>
        <v>1</v>
      </c>
      <c r="AI45" s="2" t="str">
        <f t="shared" si="11"/>
        <v>E</v>
      </c>
      <c r="AJ45" s="2" t="str">
        <f t="shared" si="12"/>
        <v>0</v>
      </c>
      <c r="AK45" s="2" t="str">
        <f t="shared" si="13"/>
        <v>1</v>
      </c>
      <c r="AL45" s="2" t="str">
        <f t="shared" si="14"/>
        <v>9</v>
      </c>
      <c r="AM45" s="2" t="str">
        <f t="shared" si="15"/>
        <v>D</v>
      </c>
      <c r="AN45" s="2" t="str">
        <f t="shared" si="16"/>
        <v>1</v>
      </c>
      <c r="AO45" s="2" t="str">
        <f t="shared" si="17"/>
        <v>9</v>
      </c>
      <c r="AP45" s="2" t="str">
        <f t="shared" si="18"/>
        <v>F</v>
      </c>
      <c r="AQ45" s="2" t="str">
        <f t="shared" si="19"/>
        <v>8</v>
      </c>
      <c r="AR45" s="2" t="str">
        <f t="shared" si="20"/>
        <v>6</v>
      </c>
      <c r="AS45" s="2" t="str">
        <f t="shared" si="21"/>
        <v>7</v>
      </c>
      <c r="AT45" s="2" t="str">
        <f t="shared" si="22"/>
        <v>D</v>
      </c>
    </row>
    <row r="46" spans="1:46">
      <c r="A46" t="s">
        <v>123</v>
      </c>
      <c r="C46" t="str">
        <f>CONCATENATE(C29,K29)</f>
        <v>11000011110000000011001110100011001111110000110011111010</v>
      </c>
      <c r="S46" t="str">
        <f t="shared" si="8"/>
        <v>1100</v>
      </c>
      <c r="T46" t="str">
        <f t="shared" si="8"/>
        <v>0011</v>
      </c>
      <c r="U46" t="str">
        <f t="shared" si="8"/>
        <v>1100</v>
      </c>
      <c r="V46" t="str">
        <f t="shared" si="8"/>
        <v>0000</v>
      </c>
      <c r="W46" t="str">
        <f t="shared" si="8"/>
        <v>0011</v>
      </c>
      <c r="X46" t="str">
        <f t="shared" si="8"/>
        <v>0011</v>
      </c>
      <c r="Y46" t="str">
        <f t="shared" si="8"/>
        <v>1010</v>
      </c>
      <c r="Z46" t="str">
        <f t="shared" si="8"/>
        <v>0011</v>
      </c>
      <c r="AA46" t="str">
        <f t="shared" si="8"/>
        <v>0011</v>
      </c>
      <c r="AB46" t="str">
        <f t="shared" si="8"/>
        <v>1111</v>
      </c>
      <c r="AC46" t="str">
        <f t="shared" si="8"/>
        <v>0000</v>
      </c>
      <c r="AD46" t="str">
        <f t="shared" si="8"/>
        <v>1100</v>
      </c>
      <c r="AE46" t="str">
        <f t="shared" si="8"/>
        <v>1111</v>
      </c>
      <c r="AF46" t="str">
        <f t="shared" si="8"/>
        <v>1010</v>
      </c>
      <c r="AG46" s="2" t="str">
        <f t="shared" si="9"/>
        <v>C</v>
      </c>
      <c r="AH46" s="2" t="str">
        <f t="shared" si="10"/>
        <v>3</v>
      </c>
      <c r="AI46" s="2" t="str">
        <f t="shared" si="11"/>
        <v>C</v>
      </c>
      <c r="AJ46" s="2" t="str">
        <f t="shared" si="12"/>
        <v>0</v>
      </c>
      <c r="AK46" s="2" t="str">
        <f t="shared" si="13"/>
        <v>3</v>
      </c>
      <c r="AL46" s="2" t="str">
        <f t="shared" si="14"/>
        <v>3</v>
      </c>
      <c r="AM46" s="2" t="str">
        <f t="shared" si="15"/>
        <v>A</v>
      </c>
      <c r="AN46" s="2" t="str">
        <f t="shared" si="16"/>
        <v>3</v>
      </c>
      <c r="AO46" s="2" t="str">
        <f t="shared" si="17"/>
        <v>3</v>
      </c>
      <c r="AP46" s="2" t="str">
        <f t="shared" si="18"/>
        <v>F</v>
      </c>
      <c r="AQ46" s="2" t="str">
        <f t="shared" si="19"/>
        <v>0</v>
      </c>
      <c r="AR46" s="2" t="str">
        <f t="shared" si="20"/>
        <v>C</v>
      </c>
      <c r="AS46" s="2" t="str">
        <f t="shared" si="21"/>
        <v>F</v>
      </c>
      <c r="AT46" s="2" t="str">
        <f t="shared" si="22"/>
        <v>A</v>
      </c>
    </row>
    <row r="47" spans="1:46"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33:46"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33:46"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33:46"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33:46"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33:46"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33:46"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33:46"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33:46"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33:46"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33:46"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33:46"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45"/>
  <sheetViews>
    <sheetView workbookViewId="0">
      <selection activeCell="Z2" sqref="Z2"/>
    </sheetView>
  </sheetViews>
  <sheetFormatPr defaultColWidth="4.28515625" defaultRowHeight="15"/>
  <cols>
    <col min="1" max="1" width="9.140625" customWidth="1"/>
  </cols>
  <sheetData>
    <row r="1" spans="1:50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t="s">
        <v>101</v>
      </c>
      <c r="N1" t="s">
        <v>124</v>
      </c>
      <c r="O1" t="s">
        <v>125</v>
      </c>
      <c r="AA1">
        <v>1</v>
      </c>
      <c r="AB1">
        <f>AA1+4</f>
        <v>5</v>
      </c>
      <c r="AC1">
        <f t="shared" ref="AC1:AL1" si="0">AB1+4</f>
        <v>9</v>
      </c>
      <c r="AD1">
        <f t="shared" si="0"/>
        <v>13</v>
      </c>
      <c r="AE1">
        <f t="shared" si="0"/>
        <v>17</v>
      </c>
      <c r="AF1">
        <f t="shared" si="0"/>
        <v>21</v>
      </c>
      <c r="AG1">
        <f t="shared" si="0"/>
        <v>25</v>
      </c>
      <c r="AH1">
        <f t="shared" si="0"/>
        <v>29</v>
      </c>
      <c r="AI1">
        <f t="shared" si="0"/>
        <v>33</v>
      </c>
      <c r="AJ1">
        <f t="shared" si="0"/>
        <v>37</v>
      </c>
      <c r="AK1">
        <f t="shared" si="0"/>
        <v>41</v>
      </c>
      <c r="AL1">
        <f t="shared" si="0"/>
        <v>45</v>
      </c>
    </row>
    <row r="2" spans="1:50">
      <c r="A2" t="s">
        <v>126</v>
      </c>
      <c r="B2">
        <v>1</v>
      </c>
      <c r="C2" s="1" t="str">
        <f>MID('CiDi SHEET'!$C$31,VLOOKUP($B2,PC_2,C$1+1,FALSE),1)</f>
        <v>0</v>
      </c>
      <c r="D2" s="1" t="str">
        <f>MID('CiDi SHEET'!$C$31,VLOOKUP($B2,PC_2,D$1+1,FALSE),1)</f>
        <v>0</v>
      </c>
      <c r="E2" s="1" t="str">
        <f>MID('CiDi SHEET'!$C$31,VLOOKUP($B2,PC_2,E$1+1,FALSE),1)</f>
        <v>0</v>
      </c>
      <c r="F2" s="1" t="str">
        <f>MID('CiDi SHEET'!$C$31,VLOOKUP($B2,PC_2,F$1+1,FALSE),1)</f>
        <v>1</v>
      </c>
      <c r="G2" s="1" t="str">
        <f>MID('CiDi SHEET'!$C$31,VLOOKUP($B2,PC_2,G$1+1,FALSE),1)</f>
        <v>1</v>
      </c>
      <c r="H2" s="1" t="str">
        <f>MID('CiDi SHEET'!$C$31,VLOOKUP($B2,PC_2,H$1+1,FALSE),1)</f>
        <v>0</v>
      </c>
      <c r="I2" t="str">
        <f>CONCATENATE(C2,D2,E2,F2,G2,H2)</f>
        <v>000110</v>
      </c>
      <c r="N2" t="s">
        <v>126</v>
      </c>
      <c r="O2" t="str">
        <f>B10</f>
        <v>000110010100110011010000011100101101111010001100</v>
      </c>
      <c r="AA2" t="str">
        <f>MID($O2,AA$1,4)</f>
        <v>0001</v>
      </c>
      <c r="AB2" t="str">
        <f t="shared" ref="AB2:AL17" si="1">MID($O2,AB$1,4)</f>
        <v>1001</v>
      </c>
      <c r="AC2" t="str">
        <f t="shared" si="1"/>
        <v>0100</v>
      </c>
      <c r="AD2" t="str">
        <f t="shared" si="1"/>
        <v>1100</v>
      </c>
      <c r="AE2" t="str">
        <f t="shared" si="1"/>
        <v>1101</v>
      </c>
      <c r="AF2" t="str">
        <f t="shared" si="1"/>
        <v>0000</v>
      </c>
      <c r="AG2" t="str">
        <f t="shared" si="1"/>
        <v>0111</v>
      </c>
      <c r="AH2" t="str">
        <f t="shared" si="1"/>
        <v>0010</v>
      </c>
      <c r="AI2" t="str">
        <f t="shared" si="1"/>
        <v>1101</v>
      </c>
      <c r="AJ2" t="str">
        <f t="shared" si="1"/>
        <v>1110</v>
      </c>
      <c r="AK2" t="str">
        <f t="shared" si="1"/>
        <v>1000</v>
      </c>
      <c r="AL2" t="str">
        <f t="shared" si="1"/>
        <v>1100</v>
      </c>
      <c r="AM2" s="2" t="str">
        <f>BIN2HEX(AA2)</f>
        <v>1</v>
      </c>
      <c r="AN2" s="2" t="str">
        <f t="shared" ref="AN2:AX2" si="2">BIN2HEX(AB2)</f>
        <v>9</v>
      </c>
      <c r="AO2" s="2" t="str">
        <f t="shared" si="2"/>
        <v>4</v>
      </c>
      <c r="AP2" s="2" t="str">
        <f t="shared" si="2"/>
        <v>C</v>
      </c>
      <c r="AQ2" s="2" t="str">
        <f t="shared" si="2"/>
        <v>D</v>
      </c>
      <c r="AR2" s="2" t="str">
        <f t="shared" si="2"/>
        <v>0</v>
      </c>
      <c r="AS2" s="2" t="str">
        <f t="shared" si="2"/>
        <v>7</v>
      </c>
      <c r="AT2" s="2" t="str">
        <f t="shared" si="2"/>
        <v>2</v>
      </c>
      <c r="AU2" s="2" t="str">
        <f t="shared" si="2"/>
        <v>D</v>
      </c>
      <c r="AV2" s="2" t="str">
        <f t="shared" si="2"/>
        <v>E</v>
      </c>
      <c r="AW2" s="2" t="str">
        <f t="shared" si="2"/>
        <v>8</v>
      </c>
      <c r="AX2" s="2" t="str">
        <f t="shared" si="2"/>
        <v>C</v>
      </c>
    </row>
    <row r="3" spans="1:50">
      <c r="B3">
        <v>2</v>
      </c>
      <c r="C3" s="1" t="str">
        <f>MID('CiDi SHEET'!$C$31,VLOOKUP($B3,PC_2,C$1+1,FALSE),1)</f>
        <v>0</v>
      </c>
      <c r="D3" s="1" t="str">
        <f>MID('CiDi SHEET'!$C$31,VLOOKUP($B3,PC_2,D$1+1,FALSE),1)</f>
        <v>1</v>
      </c>
      <c r="E3" s="1" t="str">
        <f>MID('CiDi SHEET'!$C$31,VLOOKUP($B3,PC_2,E$1+1,FALSE),1)</f>
        <v>0</v>
      </c>
      <c r="F3" s="1" t="str">
        <f>MID('CiDi SHEET'!$C$31,VLOOKUP($B3,PC_2,F$1+1,FALSE),1)</f>
        <v>1</v>
      </c>
      <c r="G3" s="1" t="str">
        <f>MID('CiDi SHEET'!$C$31,VLOOKUP($B3,PC_2,G$1+1,FALSE),1)</f>
        <v>0</v>
      </c>
      <c r="H3" s="1" t="str">
        <f>MID('CiDi SHEET'!$C$31,VLOOKUP($B3,PC_2,H$1+1,FALSE),1)</f>
        <v>0</v>
      </c>
      <c r="I3" t="str">
        <f t="shared" ref="I3:I66" si="3">CONCATENATE(C3,D3,E3,F3,G3,H3)</f>
        <v>010100</v>
      </c>
      <c r="N3" t="s">
        <v>127</v>
      </c>
      <c r="O3" t="str">
        <f>B19</f>
        <v>010001010110100001011000000110101011110011001110</v>
      </c>
      <c r="AA3" t="str">
        <f t="shared" ref="AA3:AA17" si="4">MID($O3,AA$1,4)</f>
        <v>0100</v>
      </c>
      <c r="AB3" t="str">
        <f t="shared" si="1"/>
        <v>0101</v>
      </c>
      <c r="AC3" t="str">
        <f t="shared" si="1"/>
        <v>0110</v>
      </c>
      <c r="AD3" t="str">
        <f t="shared" si="1"/>
        <v>1000</v>
      </c>
      <c r="AE3" t="str">
        <f t="shared" si="1"/>
        <v>0101</v>
      </c>
      <c r="AF3" t="str">
        <f t="shared" si="1"/>
        <v>1000</v>
      </c>
      <c r="AG3" t="str">
        <f t="shared" si="1"/>
        <v>0001</v>
      </c>
      <c r="AH3" t="str">
        <f t="shared" si="1"/>
        <v>1010</v>
      </c>
      <c r="AI3" t="str">
        <f t="shared" si="1"/>
        <v>1011</v>
      </c>
      <c r="AJ3" t="str">
        <f t="shared" si="1"/>
        <v>1100</v>
      </c>
      <c r="AK3" t="str">
        <f t="shared" si="1"/>
        <v>1100</v>
      </c>
      <c r="AL3" t="str">
        <f t="shared" si="1"/>
        <v>1110</v>
      </c>
      <c r="AM3" s="2" t="str">
        <f t="shared" ref="AM3:AM17" si="5">BIN2HEX(AA3)</f>
        <v>4</v>
      </c>
      <c r="AN3" s="2" t="str">
        <f t="shared" ref="AN3:AN17" si="6">BIN2HEX(AB3)</f>
        <v>5</v>
      </c>
      <c r="AO3" s="2" t="str">
        <f t="shared" ref="AO3:AO17" si="7">BIN2HEX(AC3)</f>
        <v>6</v>
      </c>
      <c r="AP3" s="2" t="str">
        <f t="shared" ref="AP3:AP17" si="8">BIN2HEX(AD3)</f>
        <v>8</v>
      </c>
      <c r="AQ3" s="2" t="str">
        <f t="shared" ref="AQ3:AQ17" si="9">BIN2HEX(AE3)</f>
        <v>5</v>
      </c>
      <c r="AR3" s="2" t="str">
        <f t="shared" ref="AR3:AR17" si="10">BIN2HEX(AF3)</f>
        <v>8</v>
      </c>
      <c r="AS3" s="2" t="str">
        <f t="shared" ref="AS3:AS17" si="11">BIN2HEX(AG3)</f>
        <v>1</v>
      </c>
      <c r="AT3" s="2" t="str">
        <f t="shared" ref="AT3:AT17" si="12">BIN2HEX(AH3)</f>
        <v>A</v>
      </c>
      <c r="AU3" s="2" t="str">
        <f t="shared" ref="AU3:AU17" si="13">BIN2HEX(AI3)</f>
        <v>B</v>
      </c>
      <c r="AV3" s="2" t="str">
        <f t="shared" ref="AV3:AV17" si="14">BIN2HEX(AJ3)</f>
        <v>C</v>
      </c>
      <c r="AW3" s="2" t="str">
        <f t="shared" ref="AW3:AW17" si="15">BIN2HEX(AK3)</f>
        <v>C</v>
      </c>
      <c r="AX3" s="2" t="str">
        <f t="shared" ref="AX3:AX17" si="16">BIN2HEX(AL3)</f>
        <v>E</v>
      </c>
    </row>
    <row r="4" spans="1:50">
      <c r="B4">
        <v>3</v>
      </c>
      <c r="C4" s="1" t="str">
        <f>MID('CiDi SHEET'!$C$31,VLOOKUP($B4,PC_2,C$1+1,FALSE),1)</f>
        <v>1</v>
      </c>
      <c r="D4" s="1" t="str">
        <f>MID('CiDi SHEET'!$C$31,VLOOKUP($B4,PC_2,D$1+1,FALSE),1)</f>
        <v>1</v>
      </c>
      <c r="E4" s="1" t="str">
        <f>MID('CiDi SHEET'!$C$31,VLOOKUP($B4,PC_2,E$1+1,FALSE),1)</f>
        <v>0</v>
      </c>
      <c r="F4" s="1" t="str">
        <f>MID('CiDi SHEET'!$C$31,VLOOKUP($B4,PC_2,F$1+1,FALSE),1)</f>
        <v>0</v>
      </c>
      <c r="G4" s="1" t="str">
        <f>MID('CiDi SHEET'!$C$31,VLOOKUP($B4,PC_2,G$1+1,FALSE),1)</f>
        <v>1</v>
      </c>
      <c r="H4" s="1" t="str">
        <f>MID('CiDi SHEET'!$C$31,VLOOKUP($B4,PC_2,H$1+1,FALSE),1)</f>
        <v>1</v>
      </c>
      <c r="I4" t="str">
        <f t="shared" si="3"/>
        <v>110011</v>
      </c>
      <c r="N4" t="s">
        <v>128</v>
      </c>
      <c r="O4" t="str">
        <f>B28</f>
        <v>000001101110110110100100101011001111010110110101</v>
      </c>
      <c r="AA4" t="str">
        <f t="shared" si="4"/>
        <v>0000</v>
      </c>
      <c r="AB4" t="str">
        <f t="shared" si="1"/>
        <v>0110</v>
      </c>
      <c r="AC4" t="str">
        <f t="shared" si="1"/>
        <v>1110</v>
      </c>
      <c r="AD4" t="str">
        <f t="shared" si="1"/>
        <v>1101</v>
      </c>
      <c r="AE4" t="str">
        <f t="shared" si="1"/>
        <v>1010</v>
      </c>
      <c r="AF4" t="str">
        <f t="shared" si="1"/>
        <v>0100</v>
      </c>
      <c r="AG4" t="str">
        <f t="shared" si="1"/>
        <v>1010</v>
      </c>
      <c r="AH4" t="str">
        <f t="shared" si="1"/>
        <v>1100</v>
      </c>
      <c r="AI4" t="str">
        <f t="shared" si="1"/>
        <v>1111</v>
      </c>
      <c r="AJ4" t="str">
        <f t="shared" si="1"/>
        <v>0101</v>
      </c>
      <c r="AK4" t="str">
        <f t="shared" si="1"/>
        <v>1011</v>
      </c>
      <c r="AL4" t="str">
        <f t="shared" si="1"/>
        <v>0101</v>
      </c>
      <c r="AM4" s="2" t="str">
        <f t="shared" si="5"/>
        <v>0</v>
      </c>
      <c r="AN4" s="2" t="str">
        <f t="shared" si="6"/>
        <v>6</v>
      </c>
      <c r="AO4" s="2" t="str">
        <f t="shared" si="7"/>
        <v>E</v>
      </c>
      <c r="AP4" s="2" t="str">
        <f t="shared" si="8"/>
        <v>D</v>
      </c>
      <c r="AQ4" s="2" t="str">
        <f t="shared" si="9"/>
        <v>A</v>
      </c>
      <c r="AR4" s="2" t="str">
        <f t="shared" si="10"/>
        <v>4</v>
      </c>
      <c r="AS4" s="2" t="str">
        <f t="shared" si="11"/>
        <v>A</v>
      </c>
      <c r="AT4" s="2" t="str">
        <f t="shared" si="12"/>
        <v>C</v>
      </c>
      <c r="AU4" s="2" t="str">
        <f t="shared" si="13"/>
        <v>F</v>
      </c>
      <c r="AV4" s="2" t="str">
        <f t="shared" si="14"/>
        <v>5</v>
      </c>
      <c r="AW4" s="2" t="str">
        <f t="shared" si="15"/>
        <v>B</v>
      </c>
      <c r="AX4" s="2" t="str">
        <f t="shared" si="16"/>
        <v>5</v>
      </c>
    </row>
    <row r="5" spans="1:50">
      <c r="B5">
        <v>4</v>
      </c>
      <c r="C5" s="1" t="str">
        <f>MID('CiDi SHEET'!$C$31,VLOOKUP($B5,PC_2,C$1+1,FALSE),1)</f>
        <v>0</v>
      </c>
      <c r="D5" s="1" t="str">
        <f>MID('CiDi SHEET'!$C$31,VLOOKUP($B5,PC_2,D$1+1,FALSE),1)</f>
        <v>1</v>
      </c>
      <c r="E5" s="1" t="str">
        <f>MID('CiDi SHEET'!$C$31,VLOOKUP($B5,PC_2,E$1+1,FALSE),1)</f>
        <v>0</v>
      </c>
      <c r="F5" s="1" t="str">
        <f>MID('CiDi SHEET'!$C$31,VLOOKUP($B5,PC_2,F$1+1,FALSE),1)</f>
        <v>0</v>
      </c>
      <c r="G5" s="1" t="str">
        <f>MID('CiDi SHEET'!$C$31,VLOOKUP($B5,PC_2,G$1+1,FALSE),1)</f>
        <v>0</v>
      </c>
      <c r="H5" s="1" t="str">
        <f>MID('CiDi SHEET'!$C$31,VLOOKUP($B5,PC_2,H$1+1,FALSE),1)</f>
        <v>0</v>
      </c>
      <c r="I5" t="str">
        <f t="shared" si="3"/>
        <v>010000</v>
      </c>
      <c r="N5" t="s">
        <v>129</v>
      </c>
      <c r="O5" t="str">
        <f>B37</f>
        <v>110110100010110100000011001010110110111011100011</v>
      </c>
      <c r="AA5" t="str">
        <f t="shared" si="4"/>
        <v>1101</v>
      </c>
      <c r="AB5" t="str">
        <f t="shared" si="1"/>
        <v>1010</v>
      </c>
      <c r="AC5" t="str">
        <f t="shared" si="1"/>
        <v>0010</v>
      </c>
      <c r="AD5" t="str">
        <f t="shared" si="1"/>
        <v>1101</v>
      </c>
      <c r="AE5" t="str">
        <f t="shared" si="1"/>
        <v>0000</v>
      </c>
      <c r="AF5" t="str">
        <f t="shared" si="1"/>
        <v>0011</v>
      </c>
      <c r="AG5" t="str">
        <f t="shared" si="1"/>
        <v>0010</v>
      </c>
      <c r="AH5" t="str">
        <f t="shared" si="1"/>
        <v>1011</v>
      </c>
      <c r="AI5" t="str">
        <f t="shared" si="1"/>
        <v>0110</v>
      </c>
      <c r="AJ5" t="str">
        <f t="shared" si="1"/>
        <v>1110</v>
      </c>
      <c r="AK5" t="str">
        <f t="shared" si="1"/>
        <v>1110</v>
      </c>
      <c r="AL5" t="str">
        <f t="shared" si="1"/>
        <v>0011</v>
      </c>
      <c r="AM5" s="2" t="str">
        <f t="shared" si="5"/>
        <v>D</v>
      </c>
      <c r="AN5" s="2" t="str">
        <f t="shared" si="6"/>
        <v>A</v>
      </c>
      <c r="AO5" s="2" t="str">
        <f t="shared" si="7"/>
        <v>2</v>
      </c>
      <c r="AP5" s="2" t="str">
        <f t="shared" si="8"/>
        <v>D</v>
      </c>
      <c r="AQ5" s="2" t="str">
        <f t="shared" si="9"/>
        <v>0</v>
      </c>
      <c r="AR5" s="2" t="str">
        <f t="shared" si="10"/>
        <v>3</v>
      </c>
      <c r="AS5" s="2" t="str">
        <f t="shared" si="11"/>
        <v>2</v>
      </c>
      <c r="AT5" s="2" t="str">
        <f t="shared" si="12"/>
        <v>B</v>
      </c>
      <c r="AU5" s="2" t="str">
        <f t="shared" si="13"/>
        <v>6</v>
      </c>
      <c r="AV5" s="2" t="str">
        <f t="shared" si="14"/>
        <v>E</v>
      </c>
      <c r="AW5" s="2" t="str">
        <f t="shared" si="15"/>
        <v>E</v>
      </c>
      <c r="AX5" s="2" t="str">
        <f t="shared" si="16"/>
        <v>3</v>
      </c>
    </row>
    <row r="6" spans="1:50">
      <c r="B6">
        <v>5</v>
      </c>
      <c r="C6" s="1" t="str">
        <f>MID('CiDi SHEET'!$C$31,VLOOKUP($B6,PC_2,C$1+1,FALSE),1)</f>
        <v>0</v>
      </c>
      <c r="D6" s="1" t="str">
        <f>MID('CiDi SHEET'!$C$31,VLOOKUP($B6,PC_2,D$1+1,FALSE),1)</f>
        <v>1</v>
      </c>
      <c r="E6" s="1" t="str">
        <f>MID('CiDi SHEET'!$C$31,VLOOKUP($B6,PC_2,E$1+1,FALSE),1)</f>
        <v>1</v>
      </c>
      <c r="F6" s="1" t="str">
        <f>MID('CiDi SHEET'!$C$31,VLOOKUP($B6,PC_2,F$1+1,FALSE),1)</f>
        <v>1</v>
      </c>
      <c r="G6" s="1" t="str">
        <f>MID('CiDi SHEET'!$C$31,VLOOKUP($B6,PC_2,G$1+1,FALSE),1)</f>
        <v>0</v>
      </c>
      <c r="H6" s="1" t="str">
        <f>MID('CiDi SHEET'!$C$31,VLOOKUP($B6,PC_2,H$1+1,FALSE),1)</f>
        <v>0</v>
      </c>
      <c r="I6" t="str">
        <f t="shared" si="3"/>
        <v>011100</v>
      </c>
      <c r="N6" t="s">
        <v>130</v>
      </c>
      <c r="O6" t="str">
        <f>B46</f>
        <v>011010011010011000101001111111101100100100010011</v>
      </c>
      <c r="AA6" t="str">
        <f t="shared" si="4"/>
        <v>0110</v>
      </c>
      <c r="AB6" t="str">
        <f t="shared" si="1"/>
        <v>1001</v>
      </c>
      <c r="AC6" t="str">
        <f t="shared" si="1"/>
        <v>1010</v>
      </c>
      <c r="AD6" t="str">
        <f t="shared" si="1"/>
        <v>0110</v>
      </c>
      <c r="AE6" t="str">
        <f t="shared" si="1"/>
        <v>0010</v>
      </c>
      <c r="AF6" t="str">
        <f t="shared" si="1"/>
        <v>1001</v>
      </c>
      <c r="AG6" t="str">
        <f t="shared" si="1"/>
        <v>1111</v>
      </c>
      <c r="AH6" t="str">
        <f t="shared" si="1"/>
        <v>1110</v>
      </c>
      <c r="AI6" t="str">
        <f t="shared" si="1"/>
        <v>1100</v>
      </c>
      <c r="AJ6" t="str">
        <f t="shared" si="1"/>
        <v>1001</v>
      </c>
      <c r="AK6" t="str">
        <f t="shared" si="1"/>
        <v>0001</v>
      </c>
      <c r="AL6" t="str">
        <f t="shared" si="1"/>
        <v>0011</v>
      </c>
      <c r="AM6" s="2" t="str">
        <f t="shared" si="5"/>
        <v>6</v>
      </c>
      <c r="AN6" s="2" t="str">
        <f t="shared" si="6"/>
        <v>9</v>
      </c>
      <c r="AO6" s="2" t="str">
        <f t="shared" si="7"/>
        <v>A</v>
      </c>
      <c r="AP6" s="2" t="str">
        <f t="shared" si="8"/>
        <v>6</v>
      </c>
      <c r="AQ6" s="2" t="str">
        <f t="shared" si="9"/>
        <v>2</v>
      </c>
      <c r="AR6" s="2" t="str">
        <f t="shared" si="10"/>
        <v>9</v>
      </c>
      <c r="AS6" s="2" t="str">
        <f t="shared" si="11"/>
        <v>F</v>
      </c>
      <c r="AT6" s="2" t="str">
        <f t="shared" si="12"/>
        <v>E</v>
      </c>
      <c r="AU6" s="2" t="str">
        <f t="shared" si="13"/>
        <v>C</v>
      </c>
      <c r="AV6" s="2" t="str">
        <f t="shared" si="14"/>
        <v>9</v>
      </c>
      <c r="AW6" s="2" t="str">
        <f t="shared" si="15"/>
        <v>1</v>
      </c>
      <c r="AX6" s="2" t="str">
        <f t="shared" si="16"/>
        <v>3</v>
      </c>
    </row>
    <row r="7" spans="1:50">
      <c r="B7">
        <v>6</v>
      </c>
      <c r="C7" s="1" t="str">
        <f>MID('CiDi SHEET'!$C$31,VLOOKUP($B7,PC_2,C$1+1,FALSE),1)</f>
        <v>1</v>
      </c>
      <c r="D7" s="1" t="str">
        <f>MID('CiDi SHEET'!$C$31,VLOOKUP($B7,PC_2,D$1+1,FALSE),1)</f>
        <v>0</v>
      </c>
      <c r="E7" s="1" t="str">
        <f>MID('CiDi SHEET'!$C$31,VLOOKUP($B7,PC_2,E$1+1,FALSE),1)</f>
        <v>1</v>
      </c>
      <c r="F7" s="1" t="str">
        <f>MID('CiDi SHEET'!$C$31,VLOOKUP($B7,PC_2,F$1+1,FALSE),1)</f>
        <v>1</v>
      </c>
      <c r="G7" s="1" t="str">
        <f>MID('CiDi SHEET'!$C$31,VLOOKUP($B7,PC_2,G$1+1,FALSE),1)</f>
        <v>0</v>
      </c>
      <c r="H7" s="1" t="str">
        <f>MID('CiDi SHEET'!$C$31,VLOOKUP($B7,PC_2,H$1+1,FALSE),1)</f>
        <v>1</v>
      </c>
      <c r="I7" t="str">
        <f t="shared" si="3"/>
        <v>101101</v>
      </c>
      <c r="N7" t="s">
        <v>131</v>
      </c>
      <c r="O7" t="str">
        <f>B55</f>
        <v>110000011001010010001110100001110100011101011110</v>
      </c>
      <c r="AA7" t="str">
        <f t="shared" si="4"/>
        <v>1100</v>
      </c>
      <c r="AB7" t="str">
        <f t="shared" si="1"/>
        <v>0001</v>
      </c>
      <c r="AC7" t="str">
        <f t="shared" si="1"/>
        <v>1001</v>
      </c>
      <c r="AD7" t="str">
        <f t="shared" si="1"/>
        <v>0100</v>
      </c>
      <c r="AE7" t="str">
        <f t="shared" si="1"/>
        <v>1000</v>
      </c>
      <c r="AF7" t="str">
        <f t="shared" si="1"/>
        <v>1110</v>
      </c>
      <c r="AG7" t="str">
        <f t="shared" si="1"/>
        <v>1000</v>
      </c>
      <c r="AH7" t="str">
        <f t="shared" si="1"/>
        <v>0111</v>
      </c>
      <c r="AI7" t="str">
        <f t="shared" si="1"/>
        <v>0100</v>
      </c>
      <c r="AJ7" t="str">
        <f t="shared" si="1"/>
        <v>0111</v>
      </c>
      <c r="AK7" t="str">
        <f t="shared" si="1"/>
        <v>0101</v>
      </c>
      <c r="AL7" t="str">
        <f t="shared" si="1"/>
        <v>1110</v>
      </c>
      <c r="AM7" s="2" t="str">
        <f t="shared" si="5"/>
        <v>C</v>
      </c>
      <c r="AN7" s="2" t="str">
        <f t="shared" si="6"/>
        <v>1</v>
      </c>
      <c r="AO7" s="2" t="str">
        <f t="shared" si="7"/>
        <v>9</v>
      </c>
      <c r="AP7" s="2" t="str">
        <f t="shared" si="8"/>
        <v>4</v>
      </c>
      <c r="AQ7" s="2" t="str">
        <f t="shared" si="9"/>
        <v>8</v>
      </c>
      <c r="AR7" s="2" t="str">
        <f t="shared" si="10"/>
        <v>E</v>
      </c>
      <c r="AS7" s="2" t="str">
        <f t="shared" si="11"/>
        <v>8</v>
      </c>
      <c r="AT7" s="2" t="str">
        <f t="shared" si="12"/>
        <v>7</v>
      </c>
      <c r="AU7" s="2" t="str">
        <f t="shared" si="13"/>
        <v>4</v>
      </c>
      <c r="AV7" s="2" t="str">
        <f t="shared" si="14"/>
        <v>7</v>
      </c>
      <c r="AW7" s="2" t="str">
        <f t="shared" si="15"/>
        <v>5</v>
      </c>
      <c r="AX7" s="2" t="str">
        <f t="shared" si="16"/>
        <v>E</v>
      </c>
    </row>
    <row r="8" spans="1:50">
      <c r="B8">
        <v>7</v>
      </c>
      <c r="C8" s="1" t="str">
        <f>MID('CiDi SHEET'!$C$31,VLOOKUP($B8,PC_2,C$1+1,FALSE),1)</f>
        <v>1</v>
      </c>
      <c r="D8" s="1" t="str">
        <f>MID('CiDi SHEET'!$C$31,VLOOKUP($B8,PC_2,D$1+1,FALSE),1)</f>
        <v>1</v>
      </c>
      <c r="E8" s="1" t="str">
        <f>MID('CiDi SHEET'!$C$31,VLOOKUP($B8,PC_2,E$1+1,FALSE),1)</f>
        <v>1</v>
      </c>
      <c r="F8" s="1" t="str">
        <f>MID('CiDi SHEET'!$C$31,VLOOKUP($B8,PC_2,F$1+1,FALSE),1)</f>
        <v>0</v>
      </c>
      <c r="G8" s="1" t="str">
        <f>MID('CiDi SHEET'!$C$31,VLOOKUP($B8,PC_2,G$1+1,FALSE),1)</f>
        <v>1</v>
      </c>
      <c r="H8" s="1" t="str">
        <f>MID('CiDi SHEET'!$C$31,VLOOKUP($B8,PC_2,H$1+1,FALSE),1)</f>
        <v>0</v>
      </c>
      <c r="I8" t="str">
        <f t="shared" si="3"/>
        <v>111010</v>
      </c>
      <c r="N8" t="s">
        <v>132</v>
      </c>
      <c r="O8" t="str">
        <f>B64</f>
        <v>011100001000101011010010110111011011001111000000</v>
      </c>
      <c r="AA8" t="str">
        <f t="shared" si="4"/>
        <v>0111</v>
      </c>
      <c r="AB8" t="str">
        <f t="shared" si="1"/>
        <v>0000</v>
      </c>
      <c r="AC8" t="str">
        <f t="shared" si="1"/>
        <v>1000</v>
      </c>
      <c r="AD8" t="str">
        <f t="shared" si="1"/>
        <v>1010</v>
      </c>
      <c r="AE8" t="str">
        <f t="shared" si="1"/>
        <v>1101</v>
      </c>
      <c r="AF8" t="str">
        <f t="shared" si="1"/>
        <v>0010</v>
      </c>
      <c r="AG8" t="str">
        <f t="shared" si="1"/>
        <v>1101</v>
      </c>
      <c r="AH8" t="str">
        <f t="shared" si="1"/>
        <v>1101</v>
      </c>
      <c r="AI8" t="str">
        <f t="shared" si="1"/>
        <v>1011</v>
      </c>
      <c r="AJ8" t="str">
        <f t="shared" si="1"/>
        <v>0011</v>
      </c>
      <c r="AK8" t="str">
        <f t="shared" si="1"/>
        <v>1100</v>
      </c>
      <c r="AL8" t="str">
        <f t="shared" si="1"/>
        <v>0000</v>
      </c>
      <c r="AM8" s="2" t="str">
        <f t="shared" si="5"/>
        <v>7</v>
      </c>
      <c r="AN8" s="2" t="str">
        <f t="shared" si="6"/>
        <v>0</v>
      </c>
      <c r="AO8" s="2" t="str">
        <f t="shared" si="7"/>
        <v>8</v>
      </c>
      <c r="AP8" s="2" t="str">
        <f t="shared" si="8"/>
        <v>A</v>
      </c>
      <c r="AQ8" s="2" t="str">
        <f t="shared" si="9"/>
        <v>D</v>
      </c>
      <c r="AR8" s="2" t="str">
        <f t="shared" si="10"/>
        <v>2</v>
      </c>
      <c r="AS8" s="2" t="str">
        <f t="shared" si="11"/>
        <v>D</v>
      </c>
      <c r="AT8" s="2" t="str">
        <f t="shared" si="12"/>
        <v>D</v>
      </c>
      <c r="AU8" s="2" t="str">
        <f t="shared" si="13"/>
        <v>B</v>
      </c>
      <c r="AV8" s="2" t="str">
        <f t="shared" si="14"/>
        <v>3</v>
      </c>
      <c r="AW8" s="2" t="str">
        <f t="shared" si="15"/>
        <v>C</v>
      </c>
      <c r="AX8" s="2" t="str">
        <f t="shared" si="16"/>
        <v>0</v>
      </c>
    </row>
    <row r="9" spans="1:50">
      <c r="B9">
        <v>8</v>
      </c>
      <c r="C9" s="1" t="str">
        <f>MID('CiDi SHEET'!$C$31,VLOOKUP($B9,PC_2,C$1+1,FALSE),1)</f>
        <v>0</v>
      </c>
      <c r="D9" s="1" t="str">
        <f>MID('CiDi SHEET'!$C$31,VLOOKUP($B9,PC_2,D$1+1,FALSE),1)</f>
        <v>0</v>
      </c>
      <c r="E9" s="1" t="str">
        <f>MID('CiDi SHEET'!$C$31,VLOOKUP($B9,PC_2,E$1+1,FALSE),1)</f>
        <v>1</v>
      </c>
      <c r="F9" s="1" t="str">
        <f>MID('CiDi SHEET'!$C$31,VLOOKUP($B9,PC_2,F$1+1,FALSE),1)</f>
        <v>1</v>
      </c>
      <c r="G9" s="1" t="str">
        <f>MID('CiDi SHEET'!$C$31,VLOOKUP($B9,PC_2,G$1+1,FALSE),1)</f>
        <v>0</v>
      </c>
      <c r="H9" s="1" t="str">
        <f>MID('CiDi SHEET'!$C$31,VLOOKUP($B9,PC_2,H$1+1,FALSE),1)</f>
        <v>0</v>
      </c>
      <c r="I9" t="str">
        <f t="shared" si="3"/>
        <v>001100</v>
      </c>
      <c r="N9" t="s">
        <v>133</v>
      </c>
      <c r="O9" t="str">
        <f>B73</f>
        <v>001101001111100000100010111100001100011001101101</v>
      </c>
      <c r="AA9" t="str">
        <f t="shared" si="4"/>
        <v>0011</v>
      </c>
      <c r="AB9" t="str">
        <f t="shared" si="1"/>
        <v>0100</v>
      </c>
      <c r="AC9" t="str">
        <f t="shared" si="1"/>
        <v>1111</v>
      </c>
      <c r="AD9" t="str">
        <f t="shared" si="1"/>
        <v>1000</v>
      </c>
      <c r="AE9" t="str">
        <f t="shared" si="1"/>
        <v>0010</v>
      </c>
      <c r="AF9" t="str">
        <f t="shared" si="1"/>
        <v>0010</v>
      </c>
      <c r="AG9" t="str">
        <f t="shared" si="1"/>
        <v>1111</v>
      </c>
      <c r="AH9" t="str">
        <f t="shared" si="1"/>
        <v>0000</v>
      </c>
      <c r="AI9" t="str">
        <f t="shared" si="1"/>
        <v>1100</v>
      </c>
      <c r="AJ9" t="str">
        <f t="shared" si="1"/>
        <v>0110</v>
      </c>
      <c r="AK9" t="str">
        <f t="shared" si="1"/>
        <v>0110</v>
      </c>
      <c r="AL9" t="str">
        <f t="shared" si="1"/>
        <v>1101</v>
      </c>
      <c r="AM9" s="2" t="str">
        <f t="shared" si="5"/>
        <v>3</v>
      </c>
      <c r="AN9" s="2" t="str">
        <f t="shared" si="6"/>
        <v>4</v>
      </c>
      <c r="AO9" s="2" t="str">
        <f t="shared" si="7"/>
        <v>F</v>
      </c>
      <c r="AP9" s="2" t="str">
        <f t="shared" si="8"/>
        <v>8</v>
      </c>
      <c r="AQ9" s="2" t="str">
        <f t="shared" si="9"/>
        <v>2</v>
      </c>
      <c r="AR9" s="2" t="str">
        <f t="shared" si="10"/>
        <v>2</v>
      </c>
      <c r="AS9" s="2" t="str">
        <f t="shared" si="11"/>
        <v>F</v>
      </c>
      <c r="AT9" s="2" t="str">
        <f t="shared" si="12"/>
        <v>0</v>
      </c>
      <c r="AU9" s="2" t="str">
        <f t="shared" si="13"/>
        <v>C</v>
      </c>
      <c r="AV9" s="2" t="str">
        <f t="shared" si="14"/>
        <v>6</v>
      </c>
      <c r="AW9" s="2" t="str">
        <f t="shared" si="15"/>
        <v>6</v>
      </c>
      <c r="AX9" s="2" t="str">
        <f t="shared" si="16"/>
        <v>D</v>
      </c>
    </row>
    <row r="10" spans="1:50">
      <c r="A10" t="s">
        <v>126</v>
      </c>
      <c r="B10" t="str">
        <f>CONCATENATE(I2,I3,I4,I5,I6,I7,I8,I9)</f>
        <v>000110010100110011010000011100101101111010001100</v>
      </c>
      <c r="N10" t="s">
        <v>134</v>
      </c>
      <c r="O10" t="str">
        <f>B82</f>
        <v>100001001011101101000100011100111101110011001100</v>
      </c>
      <c r="AA10" t="str">
        <f t="shared" si="4"/>
        <v>1000</v>
      </c>
      <c r="AB10" t="str">
        <f t="shared" si="1"/>
        <v>0100</v>
      </c>
      <c r="AC10" t="str">
        <f t="shared" si="1"/>
        <v>1011</v>
      </c>
      <c r="AD10" t="str">
        <f t="shared" si="1"/>
        <v>1011</v>
      </c>
      <c r="AE10" t="str">
        <f t="shared" si="1"/>
        <v>0100</v>
      </c>
      <c r="AF10" t="str">
        <f t="shared" si="1"/>
        <v>0100</v>
      </c>
      <c r="AG10" t="str">
        <f t="shared" si="1"/>
        <v>0111</v>
      </c>
      <c r="AH10" t="str">
        <f t="shared" si="1"/>
        <v>0011</v>
      </c>
      <c r="AI10" t="str">
        <f t="shared" si="1"/>
        <v>1101</v>
      </c>
      <c r="AJ10" t="str">
        <f t="shared" si="1"/>
        <v>1100</v>
      </c>
      <c r="AK10" t="str">
        <f t="shared" si="1"/>
        <v>1100</v>
      </c>
      <c r="AL10" t="str">
        <f t="shared" si="1"/>
        <v>1100</v>
      </c>
      <c r="AM10" s="2" t="str">
        <f t="shared" si="5"/>
        <v>8</v>
      </c>
      <c r="AN10" s="2" t="str">
        <f t="shared" si="6"/>
        <v>4</v>
      </c>
      <c r="AO10" s="2" t="str">
        <f t="shared" si="7"/>
        <v>B</v>
      </c>
      <c r="AP10" s="2" t="str">
        <f t="shared" si="8"/>
        <v>B</v>
      </c>
      <c r="AQ10" s="2" t="str">
        <f t="shared" si="9"/>
        <v>4</v>
      </c>
      <c r="AR10" s="2" t="str">
        <f t="shared" si="10"/>
        <v>4</v>
      </c>
      <c r="AS10" s="2" t="str">
        <f t="shared" si="11"/>
        <v>7</v>
      </c>
      <c r="AT10" s="2" t="str">
        <f t="shared" si="12"/>
        <v>3</v>
      </c>
      <c r="AU10" s="2" t="str">
        <f t="shared" si="13"/>
        <v>D</v>
      </c>
      <c r="AV10" s="2" t="str">
        <f t="shared" si="14"/>
        <v>C</v>
      </c>
      <c r="AW10" s="2" t="str">
        <f t="shared" si="15"/>
        <v>C</v>
      </c>
      <c r="AX10" s="2" t="str">
        <f t="shared" si="16"/>
        <v>C</v>
      </c>
    </row>
    <row r="11" spans="1:50">
      <c r="A11" t="s">
        <v>127</v>
      </c>
      <c r="B11">
        <v>1</v>
      </c>
      <c r="C11" s="1" t="str">
        <f>MID('CiDi SHEET'!$C$32,VLOOKUP($B11,PC_2,C$1+1,FALSE),1)</f>
        <v>0</v>
      </c>
      <c r="D11" s="1" t="str">
        <f>MID('CiDi SHEET'!$C$32,VLOOKUP($B11,PC_2,D$1+1,FALSE),1)</f>
        <v>1</v>
      </c>
      <c r="E11" s="1" t="str">
        <f>MID('CiDi SHEET'!$C$32,VLOOKUP($B11,PC_2,E$1+1,FALSE),1)</f>
        <v>0</v>
      </c>
      <c r="F11" s="1" t="str">
        <f>MID('CiDi SHEET'!$C$32,VLOOKUP($B11,PC_2,F$1+1,FALSE),1)</f>
        <v>0</v>
      </c>
      <c r="G11" s="1" t="str">
        <f>MID('CiDi SHEET'!$C$32,VLOOKUP($B11,PC_2,G$1+1,FALSE),1)</f>
        <v>0</v>
      </c>
      <c r="H11" s="1" t="str">
        <f>MID('CiDi SHEET'!$C$32,VLOOKUP($B11,PC_2,H$1+1,FALSE),1)</f>
        <v>1</v>
      </c>
      <c r="I11" t="str">
        <f t="shared" si="3"/>
        <v>010001</v>
      </c>
      <c r="N11" t="s">
        <v>135</v>
      </c>
      <c r="O11" t="str">
        <f>B91</f>
        <v>000000100111011001010111000010001011010110111111</v>
      </c>
      <c r="AA11" t="str">
        <f t="shared" si="4"/>
        <v>0000</v>
      </c>
      <c r="AB11" t="str">
        <f t="shared" si="1"/>
        <v>0010</v>
      </c>
      <c r="AC11" t="str">
        <f t="shared" si="1"/>
        <v>0111</v>
      </c>
      <c r="AD11" t="str">
        <f t="shared" si="1"/>
        <v>0110</v>
      </c>
      <c r="AE11" t="str">
        <f t="shared" si="1"/>
        <v>0101</v>
      </c>
      <c r="AF11" t="str">
        <f t="shared" si="1"/>
        <v>0111</v>
      </c>
      <c r="AG11" t="str">
        <f t="shared" si="1"/>
        <v>0000</v>
      </c>
      <c r="AH11" t="str">
        <f t="shared" si="1"/>
        <v>1000</v>
      </c>
      <c r="AI11" t="str">
        <f t="shared" si="1"/>
        <v>1011</v>
      </c>
      <c r="AJ11" t="str">
        <f t="shared" si="1"/>
        <v>0101</v>
      </c>
      <c r="AK11" t="str">
        <f t="shared" si="1"/>
        <v>1011</v>
      </c>
      <c r="AL11" t="str">
        <f t="shared" si="1"/>
        <v>1111</v>
      </c>
      <c r="AM11" s="2" t="str">
        <f t="shared" si="5"/>
        <v>0</v>
      </c>
      <c r="AN11" s="2" t="str">
        <f t="shared" si="6"/>
        <v>2</v>
      </c>
      <c r="AO11" s="2" t="str">
        <f t="shared" si="7"/>
        <v>7</v>
      </c>
      <c r="AP11" s="2" t="str">
        <f t="shared" si="8"/>
        <v>6</v>
      </c>
      <c r="AQ11" s="2" t="str">
        <f t="shared" si="9"/>
        <v>5</v>
      </c>
      <c r="AR11" s="2" t="str">
        <f t="shared" si="10"/>
        <v>7</v>
      </c>
      <c r="AS11" s="2" t="str">
        <f t="shared" si="11"/>
        <v>0</v>
      </c>
      <c r="AT11" s="2" t="str">
        <f t="shared" si="12"/>
        <v>8</v>
      </c>
      <c r="AU11" s="2" t="str">
        <f t="shared" si="13"/>
        <v>B</v>
      </c>
      <c r="AV11" s="2" t="str">
        <f t="shared" si="14"/>
        <v>5</v>
      </c>
      <c r="AW11" s="2" t="str">
        <f t="shared" si="15"/>
        <v>B</v>
      </c>
      <c r="AX11" s="2" t="str">
        <f t="shared" si="16"/>
        <v>F</v>
      </c>
    </row>
    <row r="12" spans="1:50">
      <c r="B12">
        <v>2</v>
      </c>
      <c r="C12" s="1" t="str">
        <f>MID('CiDi SHEET'!$C$32,VLOOKUP($B12,PC_2,C$1+1,FALSE),1)</f>
        <v>0</v>
      </c>
      <c r="D12" s="1" t="str">
        <f>MID('CiDi SHEET'!$C$32,VLOOKUP($B12,PC_2,D$1+1,FALSE),1)</f>
        <v>1</v>
      </c>
      <c r="E12" s="1" t="str">
        <f>MID('CiDi SHEET'!$C$32,VLOOKUP($B12,PC_2,E$1+1,FALSE),1)</f>
        <v>0</v>
      </c>
      <c r="F12" s="1" t="str">
        <f>MID('CiDi SHEET'!$C$32,VLOOKUP($B12,PC_2,F$1+1,FALSE),1)</f>
        <v>1</v>
      </c>
      <c r="G12" s="1" t="str">
        <f>MID('CiDi SHEET'!$C$32,VLOOKUP($B12,PC_2,G$1+1,FALSE),1)</f>
        <v>1</v>
      </c>
      <c r="H12" s="1" t="str">
        <f>MID('CiDi SHEET'!$C$32,VLOOKUP($B12,PC_2,H$1+1,FALSE),1)</f>
        <v>0</v>
      </c>
      <c r="I12" t="str">
        <f t="shared" si="3"/>
        <v>010110</v>
      </c>
      <c r="N12" t="s">
        <v>136</v>
      </c>
      <c r="O12" t="str">
        <f>B100</f>
        <v>011011010101010101100000101011110111110010100101</v>
      </c>
      <c r="AA12" t="str">
        <f t="shared" si="4"/>
        <v>0110</v>
      </c>
      <c r="AB12" t="str">
        <f t="shared" si="1"/>
        <v>1101</v>
      </c>
      <c r="AC12" t="str">
        <f t="shared" si="1"/>
        <v>0101</v>
      </c>
      <c r="AD12" t="str">
        <f t="shared" si="1"/>
        <v>0101</v>
      </c>
      <c r="AE12" t="str">
        <f t="shared" si="1"/>
        <v>0110</v>
      </c>
      <c r="AF12" t="str">
        <f t="shared" si="1"/>
        <v>0000</v>
      </c>
      <c r="AG12" t="str">
        <f t="shared" si="1"/>
        <v>1010</v>
      </c>
      <c r="AH12" t="str">
        <f t="shared" si="1"/>
        <v>1111</v>
      </c>
      <c r="AI12" t="str">
        <f t="shared" si="1"/>
        <v>0111</v>
      </c>
      <c r="AJ12" t="str">
        <f t="shared" si="1"/>
        <v>1100</v>
      </c>
      <c r="AK12" t="str">
        <f t="shared" si="1"/>
        <v>1010</v>
      </c>
      <c r="AL12" t="str">
        <f t="shared" si="1"/>
        <v>0101</v>
      </c>
      <c r="AM12" s="2" t="str">
        <f t="shared" si="5"/>
        <v>6</v>
      </c>
      <c r="AN12" s="2" t="str">
        <f t="shared" si="6"/>
        <v>D</v>
      </c>
      <c r="AO12" s="2" t="str">
        <f t="shared" si="7"/>
        <v>5</v>
      </c>
      <c r="AP12" s="2" t="str">
        <f t="shared" si="8"/>
        <v>5</v>
      </c>
      <c r="AQ12" s="2" t="str">
        <f t="shared" si="9"/>
        <v>6</v>
      </c>
      <c r="AR12" s="2" t="str">
        <f t="shared" si="10"/>
        <v>0</v>
      </c>
      <c r="AS12" s="2" t="str">
        <f t="shared" si="11"/>
        <v>A</v>
      </c>
      <c r="AT12" s="2" t="str">
        <f t="shared" si="12"/>
        <v>F</v>
      </c>
      <c r="AU12" s="2" t="str">
        <f t="shared" si="13"/>
        <v>7</v>
      </c>
      <c r="AV12" s="2" t="str">
        <f t="shared" si="14"/>
        <v>C</v>
      </c>
      <c r="AW12" s="2" t="str">
        <f t="shared" si="15"/>
        <v>A</v>
      </c>
      <c r="AX12" s="2" t="str">
        <f t="shared" si="16"/>
        <v>5</v>
      </c>
    </row>
    <row r="13" spans="1:50">
      <c r="B13">
        <v>3</v>
      </c>
      <c r="C13" s="1" t="str">
        <f>MID('CiDi SHEET'!$C$32,VLOOKUP($B13,PC_2,C$1+1,FALSE),1)</f>
        <v>1</v>
      </c>
      <c r="D13" s="1" t="str">
        <f>MID('CiDi SHEET'!$C$32,VLOOKUP($B13,PC_2,D$1+1,FALSE),1)</f>
        <v>0</v>
      </c>
      <c r="E13" s="1" t="str">
        <f>MID('CiDi SHEET'!$C$32,VLOOKUP($B13,PC_2,E$1+1,FALSE),1)</f>
        <v>0</v>
      </c>
      <c r="F13" s="1" t="str">
        <f>MID('CiDi SHEET'!$C$32,VLOOKUP($B13,PC_2,F$1+1,FALSE),1)</f>
        <v>0</v>
      </c>
      <c r="G13" s="1" t="str">
        <f>MID('CiDi SHEET'!$C$32,VLOOKUP($B13,PC_2,G$1+1,FALSE),1)</f>
        <v>0</v>
      </c>
      <c r="H13" s="1" t="str">
        <f>MID('CiDi SHEET'!$C$32,VLOOKUP($B13,PC_2,H$1+1,FALSE),1)</f>
        <v>1</v>
      </c>
      <c r="I13" t="str">
        <f t="shared" si="3"/>
        <v>100001</v>
      </c>
      <c r="N13" t="s">
        <v>137</v>
      </c>
      <c r="O13" t="str">
        <f>B109</f>
        <v>110000101100000111101001011010100100101111110011</v>
      </c>
      <c r="AA13" t="str">
        <f t="shared" si="4"/>
        <v>1100</v>
      </c>
      <c r="AB13" t="str">
        <f t="shared" si="1"/>
        <v>0010</v>
      </c>
      <c r="AC13" t="str">
        <f t="shared" si="1"/>
        <v>1100</v>
      </c>
      <c r="AD13" t="str">
        <f t="shared" si="1"/>
        <v>0001</v>
      </c>
      <c r="AE13" t="str">
        <f t="shared" si="1"/>
        <v>1110</v>
      </c>
      <c r="AF13" t="str">
        <f t="shared" si="1"/>
        <v>1001</v>
      </c>
      <c r="AG13" t="str">
        <f t="shared" si="1"/>
        <v>0110</v>
      </c>
      <c r="AH13" t="str">
        <f t="shared" si="1"/>
        <v>1010</v>
      </c>
      <c r="AI13" t="str">
        <f t="shared" si="1"/>
        <v>0100</v>
      </c>
      <c r="AJ13" t="str">
        <f t="shared" si="1"/>
        <v>1011</v>
      </c>
      <c r="AK13" t="str">
        <f t="shared" si="1"/>
        <v>1111</v>
      </c>
      <c r="AL13" t="str">
        <f t="shared" si="1"/>
        <v>0011</v>
      </c>
      <c r="AM13" s="2" t="str">
        <f t="shared" si="5"/>
        <v>C</v>
      </c>
      <c r="AN13" s="2" t="str">
        <f t="shared" si="6"/>
        <v>2</v>
      </c>
      <c r="AO13" s="2" t="str">
        <f t="shared" si="7"/>
        <v>C</v>
      </c>
      <c r="AP13" s="2" t="str">
        <f t="shared" si="8"/>
        <v>1</v>
      </c>
      <c r="AQ13" s="2" t="str">
        <f t="shared" si="9"/>
        <v>E</v>
      </c>
      <c r="AR13" s="2" t="str">
        <f t="shared" si="10"/>
        <v>9</v>
      </c>
      <c r="AS13" s="2" t="str">
        <f t="shared" si="11"/>
        <v>6</v>
      </c>
      <c r="AT13" s="2" t="str">
        <f t="shared" si="12"/>
        <v>A</v>
      </c>
      <c r="AU13" s="2" t="str">
        <f t="shared" si="13"/>
        <v>4</v>
      </c>
      <c r="AV13" s="2" t="str">
        <f t="shared" si="14"/>
        <v>B</v>
      </c>
      <c r="AW13" s="2" t="str">
        <f t="shared" si="15"/>
        <v>F</v>
      </c>
      <c r="AX13" s="2" t="str">
        <f t="shared" si="16"/>
        <v>3</v>
      </c>
    </row>
    <row r="14" spans="1:50">
      <c r="B14">
        <v>4</v>
      </c>
      <c r="C14" s="1" t="str">
        <f>MID('CiDi SHEET'!$C$32,VLOOKUP($B14,PC_2,C$1+1,FALSE),1)</f>
        <v>0</v>
      </c>
      <c r="D14" s="1" t="str">
        <f>MID('CiDi SHEET'!$C$32,VLOOKUP($B14,PC_2,D$1+1,FALSE),1)</f>
        <v>1</v>
      </c>
      <c r="E14" s="1" t="str">
        <f>MID('CiDi SHEET'!$C$32,VLOOKUP($B14,PC_2,E$1+1,FALSE),1)</f>
        <v>1</v>
      </c>
      <c r="F14" s="1" t="str">
        <f>MID('CiDi SHEET'!$C$32,VLOOKUP($B14,PC_2,F$1+1,FALSE),1)</f>
        <v>0</v>
      </c>
      <c r="G14" s="1" t="str">
        <f>MID('CiDi SHEET'!$C$32,VLOOKUP($B14,PC_2,G$1+1,FALSE),1)</f>
        <v>0</v>
      </c>
      <c r="H14" s="1" t="str">
        <f>MID('CiDi SHEET'!$C$32,VLOOKUP($B14,PC_2,H$1+1,FALSE),1)</f>
        <v>0</v>
      </c>
      <c r="I14" t="str">
        <f t="shared" si="3"/>
        <v>011000</v>
      </c>
      <c r="N14" t="s">
        <v>138</v>
      </c>
      <c r="O14" t="str">
        <f>B118</f>
        <v>100110011100001100010011100101111100100100011111</v>
      </c>
      <c r="AA14" t="str">
        <f t="shared" si="4"/>
        <v>1001</v>
      </c>
      <c r="AB14" t="str">
        <f t="shared" si="1"/>
        <v>1001</v>
      </c>
      <c r="AC14" t="str">
        <f t="shared" si="1"/>
        <v>1100</v>
      </c>
      <c r="AD14" t="str">
        <f t="shared" si="1"/>
        <v>0011</v>
      </c>
      <c r="AE14" t="str">
        <f t="shared" si="1"/>
        <v>0001</v>
      </c>
      <c r="AF14" t="str">
        <f t="shared" si="1"/>
        <v>0011</v>
      </c>
      <c r="AG14" t="str">
        <f t="shared" si="1"/>
        <v>1001</v>
      </c>
      <c r="AH14" t="str">
        <f t="shared" si="1"/>
        <v>0111</v>
      </c>
      <c r="AI14" t="str">
        <f t="shared" si="1"/>
        <v>1100</v>
      </c>
      <c r="AJ14" t="str">
        <f t="shared" si="1"/>
        <v>1001</v>
      </c>
      <c r="AK14" t="str">
        <f t="shared" si="1"/>
        <v>0001</v>
      </c>
      <c r="AL14" t="str">
        <f t="shared" si="1"/>
        <v>1111</v>
      </c>
      <c r="AM14" s="2" t="str">
        <f t="shared" si="5"/>
        <v>9</v>
      </c>
      <c r="AN14" s="2" t="str">
        <f t="shared" si="6"/>
        <v>9</v>
      </c>
      <c r="AO14" s="2" t="str">
        <f t="shared" si="7"/>
        <v>C</v>
      </c>
      <c r="AP14" s="2" t="str">
        <f t="shared" si="8"/>
        <v>3</v>
      </c>
      <c r="AQ14" s="2" t="str">
        <f t="shared" si="9"/>
        <v>1</v>
      </c>
      <c r="AR14" s="2" t="str">
        <f t="shared" si="10"/>
        <v>3</v>
      </c>
      <c r="AS14" s="2" t="str">
        <f t="shared" si="11"/>
        <v>9</v>
      </c>
      <c r="AT14" s="2" t="str">
        <f t="shared" si="12"/>
        <v>7</v>
      </c>
      <c r="AU14" s="2" t="str">
        <f t="shared" si="13"/>
        <v>C</v>
      </c>
      <c r="AV14" s="2" t="str">
        <f t="shared" si="14"/>
        <v>9</v>
      </c>
      <c r="AW14" s="2" t="str">
        <f t="shared" si="15"/>
        <v>1</v>
      </c>
      <c r="AX14" s="2" t="str">
        <f t="shared" si="16"/>
        <v>F</v>
      </c>
    </row>
    <row r="15" spans="1:50">
      <c r="B15">
        <v>5</v>
      </c>
      <c r="C15" s="1" t="str">
        <f>MID('CiDi SHEET'!$C$32,VLOOKUP($B15,PC_2,C$1+1,FALSE),1)</f>
        <v>0</v>
      </c>
      <c r="D15" s="1" t="str">
        <f>MID('CiDi SHEET'!$C$32,VLOOKUP($B15,PC_2,D$1+1,FALSE),1)</f>
        <v>0</v>
      </c>
      <c r="E15" s="1" t="str">
        <f>MID('CiDi SHEET'!$C$32,VLOOKUP($B15,PC_2,E$1+1,FALSE),1)</f>
        <v>0</v>
      </c>
      <c r="F15" s="1" t="str">
        <f>MID('CiDi SHEET'!$C$32,VLOOKUP($B15,PC_2,F$1+1,FALSE),1)</f>
        <v>1</v>
      </c>
      <c r="G15" s="1" t="str">
        <f>MID('CiDi SHEET'!$C$32,VLOOKUP($B15,PC_2,G$1+1,FALSE),1)</f>
        <v>1</v>
      </c>
      <c r="H15" s="1" t="str">
        <f>MID('CiDi SHEET'!$C$32,VLOOKUP($B15,PC_2,H$1+1,FALSE),1)</f>
        <v>0</v>
      </c>
      <c r="I15" t="str">
        <f t="shared" si="3"/>
        <v>000110</v>
      </c>
      <c r="N15" t="s">
        <v>139</v>
      </c>
      <c r="O15" t="str">
        <f>B127</f>
        <v>001001010001101110001011110001110001011111010000</v>
      </c>
      <c r="AA15" t="str">
        <f t="shared" si="4"/>
        <v>0010</v>
      </c>
      <c r="AB15" t="str">
        <f t="shared" si="1"/>
        <v>0101</v>
      </c>
      <c r="AC15" t="str">
        <f t="shared" si="1"/>
        <v>0001</v>
      </c>
      <c r="AD15" t="str">
        <f t="shared" si="1"/>
        <v>1011</v>
      </c>
      <c r="AE15" t="str">
        <f t="shared" si="1"/>
        <v>1000</v>
      </c>
      <c r="AF15" t="str">
        <f t="shared" si="1"/>
        <v>1011</v>
      </c>
      <c r="AG15" t="str">
        <f t="shared" si="1"/>
        <v>1100</v>
      </c>
      <c r="AH15" t="str">
        <f t="shared" si="1"/>
        <v>0111</v>
      </c>
      <c r="AI15" t="str">
        <f t="shared" si="1"/>
        <v>0001</v>
      </c>
      <c r="AJ15" t="str">
        <f t="shared" si="1"/>
        <v>0111</v>
      </c>
      <c r="AK15" t="str">
        <f t="shared" si="1"/>
        <v>1101</v>
      </c>
      <c r="AL15" t="str">
        <f t="shared" si="1"/>
        <v>0000</v>
      </c>
      <c r="AM15" s="2" t="str">
        <f t="shared" si="5"/>
        <v>2</v>
      </c>
      <c r="AN15" s="2" t="str">
        <f t="shared" si="6"/>
        <v>5</v>
      </c>
      <c r="AO15" s="2" t="str">
        <f t="shared" si="7"/>
        <v>1</v>
      </c>
      <c r="AP15" s="2" t="str">
        <f t="shared" si="8"/>
        <v>B</v>
      </c>
      <c r="AQ15" s="2" t="str">
        <f t="shared" si="9"/>
        <v>8</v>
      </c>
      <c r="AR15" s="2" t="str">
        <f t="shared" si="10"/>
        <v>B</v>
      </c>
      <c r="AS15" s="2" t="str">
        <f t="shared" si="11"/>
        <v>C</v>
      </c>
      <c r="AT15" s="2" t="str">
        <f t="shared" si="12"/>
        <v>7</v>
      </c>
      <c r="AU15" s="2" t="str">
        <f t="shared" si="13"/>
        <v>1</v>
      </c>
      <c r="AV15" s="2" t="str">
        <f t="shared" si="14"/>
        <v>7</v>
      </c>
      <c r="AW15" s="2" t="str">
        <f t="shared" si="15"/>
        <v>D</v>
      </c>
      <c r="AX15" s="2" t="str">
        <f t="shared" si="16"/>
        <v>0</v>
      </c>
    </row>
    <row r="16" spans="1:50">
      <c r="B16">
        <v>6</v>
      </c>
      <c r="C16" s="1" t="str">
        <f>MID('CiDi SHEET'!$C$32,VLOOKUP($B16,PC_2,C$1+1,FALSE),1)</f>
        <v>1</v>
      </c>
      <c r="D16" s="1" t="str">
        <f>MID('CiDi SHEET'!$C$32,VLOOKUP($B16,PC_2,D$1+1,FALSE),1)</f>
        <v>0</v>
      </c>
      <c r="E16" s="1" t="str">
        <f>MID('CiDi SHEET'!$C$32,VLOOKUP($B16,PC_2,E$1+1,FALSE),1)</f>
        <v>1</v>
      </c>
      <c r="F16" s="1" t="str">
        <f>MID('CiDi SHEET'!$C$32,VLOOKUP($B16,PC_2,F$1+1,FALSE),1)</f>
        <v>0</v>
      </c>
      <c r="G16" s="1" t="str">
        <f>MID('CiDi SHEET'!$C$32,VLOOKUP($B16,PC_2,G$1+1,FALSE),1)</f>
        <v>1</v>
      </c>
      <c r="H16" s="1" t="str">
        <f>MID('CiDi SHEET'!$C$32,VLOOKUP($B16,PC_2,H$1+1,FALSE),1)</f>
        <v>1</v>
      </c>
      <c r="I16" t="str">
        <f t="shared" si="3"/>
        <v>101011</v>
      </c>
      <c r="N16" t="s">
        <v>140</v>
      </c>
      <c r="O16" t="str">
        <f>B136</f>
        <v>001100110011000011000101110110011010001101101101</v>
      </c>
      <c r="AA16" t="str">
        <f t="shared" si="4"/>
        <v>0011</v>
      </c>
      <c r="AB16" t="str">
        <f t="shared" si="1"/>
        <v>0011</v>
      </c>
      <c r="AC16" t="str">
        <f t="shared" si="1"/>
        <v>0011</v>
      </c>
      <c r="AD16" t="str">
        <f t="shared" si="1"/>
        <v>0000</v>
      </c>
      <c r="AE16" t="str">
        <f t="shared" si="1"/>
        <v>1100</v>
      </c>
      <c r="AF16" t="str">
        <f t="shared" si="1"/>
        <v>0101</v>
      </c>
      <c r="AG16" t="str">
        <f t="shared" si="1"/>
        <v>1101</v>
      </c>
      <c r="AH16" t="str">
        <f t="shared" si="1"/>
        <v>1001</v>
      </c>
      <c r="AI16" t="str">
        <f t="shared" si="1"/>
        <v>1010</v>
      </c>
      <c r="AJ16" t="str">
        <f t="shared" si="1"/>
        <v>0011</v>
      </c>
      <c r="AK16" t="str">
        <f t="shared" si="1"/>
        <v>0110</v>
      </c>
      <c r="AL16" t="str">
        <f t="shared" si="1"/>
        <v>1101</v>
      </c>
      <c r="AM16" s="2" t="str">
        <f t="shared" si="5"/>
        <v>3</v>
      </c>
      <c r="AN16" s="2" t="str">
        <f t="shared" si="6"/>
        <v>3</v>
      </c>
      <c r="AO16" s="2" t="str">
        <f t="shared" si="7"/>
        <v>3</v>
      </c>
      <c r="AP16" s="2" t="str">
        <f t="shared" si="8"/>
        <v>0</v>
      </c>
      <c r="AQ16" s="2" t="str">
        <f t="shared" si="9"/>
        <v>C</v>
      </c>
      <c r="AR16" s="2" t="str">
        <f t="shared" si="10"/>
        <v>5</v>
      </c>
      <c r="AS16" s="2" t="str">
        <f t="shared" si="11"/>
        <v>D</v>
      </c>
      <c r="AT16" s="2" t="str">
        <f t="shared" si="12"/>
        <v>9</v>
      </c>
      <c r="AU16" s="2" t="str">
        <f t="shared" si="13"/>
        <v>A</v>
      </c>
      <c r="AV16" s="2" t="str">
        <f t="shared" si="14"/>
        <v>3</v>
      </c>
      <c r="AW16" s="2" t="str">
        <f t="shared" si="15"/>
        <v>6</v>
      </c>
      <c r="AX16" s="2" t="str">
        <f t="shared" si="16"/>
        <v>D</v>
      </c>
    </row>
    <row r="17" spans="1:50">
      <c r="B17">
        <v>7</v>
      </c>
      <c r="C17" s="1" t="str">
        <f>MID('CiDi SHEET'!$C$32,VLOOKUP($B17,PC_2,C$1+1,FALSE),1)</f>
        <v>1</v>
      </c>
      <c r="D17" s="1" t="str">
        <f>MID('CiDi SHEET'!$C$32,VLOOKUP($B17,PC_2,D$1+1,FALSE),1)</f>
        <v>1</v>
      </c>
      <c r="E17" s="1" t="str">
        <f>MID('CiDi SHEET'!$C$32,VLOOKUP($B17,PC_2,E$1+1,FALSE),1)</f>
        <v>0</v>
      </c>
      <c r="F17" s="1" t="str">
        <f>MID('CiDi SHEET'!$C$32,VLOOKUP($B17,PC_2,F$1+1,FALSE),1)</f>
        <v>0</v>
      </c>
      <c r="G17" s="1" t="str">
        <f>MID('CiDi SHEET'!$C$32,VLOOKUP($B17,PC_2,G$1+1,FALSE),1)</f>
        <v>1</v>
      </c>
      <c r="H17" s="1" t="str">
        <f>MID('CiDi SHEET'!$C$32,VLOOKUP($B17,PC_2,H$1+1,FALSE),1)</f>
        <v>1</v>
      </c>
      <c r="I17" t="str">
        <f t="shared" si="3"/>
        <v>110011</v>
      </c>
      <c r="N17" t="s">
        <v>141</v>
      </c>
      <c r="O17" t="str">
        <f>B145</f>
        <v>000110000001110001011101011101011100011001101101</v>
      </c>
      <c r="AA17" t="str">
        <f t="shared" si="4"/>
        <v>0001</v>
      </c>
      <c r="AB17" t="str">
        <f t="shared" si="1"/>
        <v>1000</v>
      </c>
      <c r="AC17" t="str">
        <f t="shared" si="1"/>
        <v>0001</v>
      </c>
      <c r="AD17" t="str">
        <f t="shared" si="1"/>
        <v>1100</v>
      </c>
      <c r="AE17" t="str">
        <f t="shared" si="1"/>
        <v>0101</v>
      </c>
      <c r="AF17" t="str">
        <f t="shared" si="1"/>
        <v>1101</v>
      </c>
      <c r="AG17" t="str">
        <f t="shared" si="1"/>
        <v>0111</v>
      </c>
      <c r="AH17" t="str">
        <f t="shared" si="1"/>
        <v>0101</v>
      </c>
      <c r="AI17" t="str">
        <f t="shared" si="1"/>
        <v>1100</v>
      </c>
      <c r="AJ17" t="str">
        <f t="shared" si="1"/>
        <v>0110</v>
      </c>
      <c r="AK17" t="str">
        <f t="shared" si="1"/>
        <v>0110</v>
      </c>
      <c r="AL17" t="str">
        <f t="shared" si="1"/>
        <v>1101</v>
      </c>
      <c r="AM17" s="2" t="str">
        <f t="shared" si="5"/>
        <v>1</v>
      </c>
      <c r="AN17" s="2" t="str">
        <f t="shared" si="6"/>
        <v>8</v>
      </c>
      <c r="AO17" s="2" t="str">
        <f t="shared" si="7"/>
        <v>1</v>
      </c>
      <c r="AP17" s="2" t="str">
        <f t="shared" si="8"/>
        <v>C</v>
      </c>
      <c r="AQ17" s="2" t="str">
        <f t="shared" si="9"/>
        <v>5</v>
      </c>
      <c r="AR17" s="2" t="str">
        <f t="shared" si="10"/>
        <v>D</v>
      </c>
      <c r="AS17" s="2" t="str">
        <f t="shared" si="11"/>
        <v>7</v>
      </c>
      <c r="AT17" s="2" t="str">
        <f t="shared" si="12"/>
        <v>5</v>
      </c>
      <c r="AU17" s="2" t="str">
        <f t="shared" si="13"/>
        <v>C</v>
      </c>
      <c r="AV17" s="2" t="str">
        <f t="shared" si="14"/>
        <v>6</v>
      </c>
      <c r="AW17" s="2" t="str">
        <f t="shared" si="15"/>
        <v>6</v>
      </c>
      <c r="AX17" s="2" t="str">
        <f t="shared" si="16"/>
        <v>D</v>
      </c>
    </row>
    <row r="18" spans="1:50">
      <c r="B18">
        <v>8</v>
      </c>
      <c r="C18" s="1" t="str">
        <f>MID('CiDi SHEET'!$C$32,VLOOKUP($B18,PC_2,C$1+1,FALSE),1)</f>
        <v>0</v>
      </c>
      <c r="D18" s="1" t="str">
        <f>MID('CiDi SHEET'!$C$32,VLOOKUP($B18,PC_2,D$1+1,FALSE),1)</f>
        <v>0</v>
      </c>
      <c r="E18" s="1" t="str">
        <f>MID('CiDi SHEET'!$C$32,VLOOKUP($B18,PC_2,E$1+1,FALSE),1)</f>
        <v>1</v>
      </c>
      <c r="F18" s="1" t="str">
        <f>MID('CiDi SHEET'!$C$32,VLOOKUP($B18,PC_2,F$1+1,FALSE),1)</f>
        <v>1</v>
      </c>
      <c r="G18" s="1" t="str">
        <f>MID('CiDi SHEET'!$C$32,VLOOKUP($B18,PC_2,G$1+1,FALSE),1)</f>
        <v>1</v>
      </c>
      <c r="H18" s="1" t="str">
        <f>MID('CiDi SHEET'!$C$32,VLOOKUP($B18,PC_2,H$1+1,FALSE),1)</f>
        <v>0</v>
      </c>
      <c r="I18" t="str">
        <f t="shared" si="3"/>
        <v>001110</v>
      </c>
    </row>
    <row r="19" spans="1:50">
      <c r="A19" t="s">
        <v>127</v>
      </c>
      <c r="B19" t="str">
        <f>CONCATENATE(I11,I12,I13,I14,I15,I16,I17,I18)</f>
        <v>010001010110100001011000000110101011110011001110</v>
      </c>
      <c r="Z19">
        <f>LEN(O2)</f>
        <v>48</v>
      </c>
    </row>
    <row r="20" spans="1:50">
      <c r="A20" t="s">
        <v>128</v>
      </c>
      <c r="B20">
        <v>1</v>
      </c>
      <c r="C20" s="1" t="str">
        <f>MID('CiDi SHEET'!$C$33,VLOOKUP($B20,PC_2,C$1+1,FALSE),1)</f>
        <v>0</v>
      </c>
      <c r="D20" s="1" t="str">
        <f>MID('CiDi SHEET'!$C$33,VLOOKUP($B20,PC_2,D$1+1,FALSE),1)</f>
        <v>0</v>
      </c>
      <c r="E20" s="1" t="str">
        <f>MID('CiDi SHEET'!$C$33,VLOOKUP($B20,PC_2,E$1+1,FALSE),1)</f>
        <v>0</v>
      </c>
      <c r="F20" s="1" t="str">
        <f>MID('CiDi SHEET'!$C$33,VLOOKUP($B20,PC_2,F$1+1,FALSE),1)</f>
        <v>0</v>
      </c>
      <c r="G20" s="1" t="str">
        <f>MID('CiDi SHEET'!$C$33,VLOOKUP($B20,PC_2,G$1+1,FALSE),1)</f>
        <v>0</v>
      </c>
      <c r="H20" s="1" t="str">
        <f>MID('CiDi SHEET'!$C$33,VLOOKUP($B20,PC_2,H$1+1,FALSE),1)</f>
        <v>1</v>
      </c>
      <c r="I20" t="str">
        <f t="shared" si="3"/>
        <v>000001</v>
      </c>
    </row>
    <row r="21" spans="1:50">
      <c r="B21">
        <v>2</v>
      </c>
      <c r="C21" s="1" t="str">
        <f>MID('CiDi SHEET'!$C$33,VLOOKUP($B21,PC_2,C$1+1,FALSE),1)</f>
        <v>1</v>
      </c>
      <c r="D21" s="1" t="str">
        <f>MID('CiDi SHEET'!$C$33,VLOOKUP($B21,PC_2,D$1+1,FALSE),1)</f>
        <v>0</v>
      </c>
      <c r="E21" s="1" t="str">
        <f>MID('CiDi SHEET'!$C$33,VLOOKUP($B21,PC_2,E$1+1,FALSE),1)</f>
        <v>1</v>
      </c>
      <c r="F21" s="1" t="str">
        <f>MID('CiDi SHEET'!$C$33,VLOOKUP($B21,PC_2,F$1+1,FALSE),1)</f>
        <v>1</v>
      </c>
      <c r="G21" s="1" t="str">
        <f>MID('CiDi SHEET'!$C$33,VLOOKUP($B21,PC_2,G$1+1,FALSE),1)</f>
        <v>1</v>
      </c>
      <c r="H21" s="1" t="str">
        <f>MID('CiDi SHEET'!$C$33,VLOOKUP($B21,PC_2,H$1+1,FALSE),1)</f>
        <v>0</v>
      </c>
      <c r="I21" t="str">
        <f t="shared" si="3"/>
        <v>101110</v>
      </c>
    </row>
    <row r="22" spans="1:50">
      <c r="B22">
        <v>3</v>
      </c>
      <c r="C22" s="1" t="str">
        <f>MID('CiDi SHEET'!$C$33,VLOOKUP($B22,PC_2,C$1+1,FALSE),1)</f>
        <v>1</v>
      </c>
      <c r="D22" s="1" t="str">
        <f>MID('CiDi SHEET'!$C$33,VLOOKUP($B22,PC_2,D$1+1,FALSE),1)</f>
        <v>1</v>
      </c>
      <c r="E22" s="1" t="str">
        <f>MID('CiDi SHEET'!$C$33,VLOOKUP($B22,PC_2,E$1+1,FALSE),1)</f>
        <v>0</v>
      </c>
      <c r="F22" s="1" t="str">
        <f>MID('CiDi SHEET'!$C$33,VLOOKUP($B22,PC_2,F$1+1,FALSE),1)</f>
        <v>1</v>
      </c>
      <c r="G22" s="1" t="str">
        <f>MID('CiDi SHEET'!$C$33,VLOOKUP($B22,PC_2,G$1+1,FALSE),1)</f>
        <v>1</v>
      </c>
      <c r="H22" s="1" t="str">
        <f>MID('CiDi SHEET'!$C$33,VLOOKUP($B22,PC_2,H$1+1,FALSE),1)</f>
        <v>0</v>
      </c>
      <c r="I22" t="str">
        <f t="shared" si="3"/>
        <v>110110</v>
      </c>
    </row>
    <row r="23" spans="1:50">
      <c r="B23">
        <v>4</v>
      </c>
      <c r="C23" s="1" t="str">
        <f>MID('CiDi SHEET'!$C$33,VLOOKUP($B23,PC_2,C$1+1,FALSE),1)</f>
        <v>1</v>
      </c>
      <c r="D23" s="1" t="str">
        <f>MID('CiDi SHEET'!$C$33,VLOOKUP($B23,PC_2,D$1+1,FALSE),1)</f>
        <v>0</v>
      </c>
      <c r="E23" s="1" t="str">
        <f>MID('CiDi SHEET'!$C$33,VLOOKUP($B23,PC_2,E$1+1,FALSE),1)</f>
        <v>0</v>
      </c>
      <c r="F23" s="1" t="str">
        <f>MID('CiDi SHEET'!$C$33,VLOOKUP($B23,PC_2,F$1+1,FALSE),1)</f>
        <v>1</v>
      </c>
      <c r="G23" s="1" t="str">
        <f>MID('CiDi SHEET'!$C$33,VLOOKUP($B23,PC_2,G$1+1,FALSE),1)</f>
        <v>0</v>
      </c>
      <c r="H23" s="1" t="str">
        <f>MID('CiDi SHEET'!$C$33,VLOOKUP($B23,PC_2,H$1+1,FALSE),1)</f>
        <v>0</v>
      </c>
      <c r="I23" t="str">
        <f t="shared" si="3"/>
        <v>100100</v>
      </c>
    </row>
    <row r="24" spans="1:50">
      <c r="B24">
        <v>5</v>
      </c>
      <c r="C24" s="1" t="str">
        <f>MID('CiDi SHEET'!$C$33,VLOOKUP($B24,PC_2,C$1+1,FALSE),1)</f>
        <v>1</v>
      </c>
      <c r="D24" s="1" t="str">
        <f>MID('CiDi SHEET'!$C$33,VLOOKUP($B24,PC_2,D$1+1,FALSE),1)</f>
        <v>0</v>
      </c>
      <c r="E24" s="1" t="str">
        <f>MID('CiDi SHEET'!$C$33,VLOOKUP($B24,PC_2,E$1+1,FALSE),1)</f>
        <v>1</v>
      </c>
      <c r="F24" s="1" t="str">
        <f>MID('CiDi SHEET'!$C$33,VLOOKUP($B24,PC_2,F$1+1,FALSE),1)</f>
        <v>0</v>
      </c>
      <c r="G24" s="1" t="str">
        <f>MID('CiDi SHEET'!$C$33,VLOOKUP($B24,PC_2,G$1+1,FALSE),1)</f>
        <v>1</v>
      </c>
      <c r="H24" s="1" t="str">
        <f>MID('CiDi SHEET'!$C$33,VLOOKUP($B24,PC_2,H$1+1,FALSE),1)</f>
        <v>1</v>
      </c>
      <c r="I24" t="str">
        <f t="shared" si="3"/>
        <v>101011</v>
      </c>
    </row>
    <row r="25" spans="1:50">
      <c r="B25">
        <v>6</v>
      </c>
      <c r="C25" s="1" t="str">
        <f>MID('CiDi SHEET'!$C$33,VLOOKUP($B25,PC_2,C$1+1,FALSE),1)</f>
        <v>0</v>
      </c>
      <c r="D25" s="1" t="str">
        <f>MID('CiDi SHEET'!$C$33,VLOOKUP($B25,PC_2,D$1+1,FALSE),1)</f>
        <v>0</v>
      </c>
      <c r="E25" s="1" t="str">
        <f>MID('CiDi SHEET'!$C$33,VLOOKUP($B25,PC_2,E$1+1,FALSE),1)</f>
        <v>1</v>
      </c>
      <c r="F25" s="1" t="str">
        <f>MID('CiDi SHEET'!$C$33,VLOOKUP($B25,PC_2,F$1+1,FALSE),1)</f>
        <v>1</v>
      </c>
      <c r="G25" s="1" t="str">
        <f>MID('CiDi SHEET'!$C$33,VLOOKUP($B25,PC_2,G$1+1,FALSE),1)</f>
        <v>1</v>
      </c>
      <c r="H25" s="1" t="str">
        <f>MID('CiDi SHEET'!$C$33,VLOOKUP($B25,PC_2,H$1+1,FALSE),1)</f>
        <v>1</v>
      </c>
      <c r="I25" t="str">
        <f t="shared" si="3"/>
        <v>001111</v>
      </c>
    </row>
    <row r="26" spans="1:50">
      <c r="B26">
        <v>7</v>
      </c>
      <c r="C26" s="1" t="str">
        <f>MID('CiDi SHEET'!$C$33,VLOOKUP($B26,PC_2,C$1+1,FALSE),1)</f>
        <v>0</v>
      </c>
      <c r="D26" s="1" t="str">
        <f>MID('CiDi SHEET'!$C$33,VLOOKUP($B26,PC_2,D$1+1,FALSE),1)</f>
        <v>1</v>
      </c>
      <c r="E26" s="1" t="str">
        <f>MID('CiDi SHEET'!$C$33,VLOOKUP($B26,PC_2,E$1+1,FALSE),1)</f>
        <v>0</v>
      </c>
      <c r="F26" s="1" t="str">
        <f>MID('CiDi SHEET'!$C$33,VLOOKUP($B26,PC_2,F$1+1,FALSE),1)</f>
        <v>1</v>
      </c>
      <c r="G26" s="1" t="str">
        <f>MID('CiDi SHEET'!$C$33,VLOOKUP($B26,PC_2,G$1+1,FALSE),1)</f>
        <v>1</v>
      </c>
      <c r="H26" s="1" t="str">
        <f>MID('CiDi SHEET'!$C$33,VLOOKUP($B26,PC_2,H$1+1,FALSE),1)</f>
        <v>0</v>
      </c>
      <c r="I26" t="str">
        <f t="shared" si="3"/>
        <v>010110</v>
      </c>
    </row>
    <row r="27" spans="1:50">
      <c r="B27">
        <v>8</v>
      </c>
      <c r="C27" s="1" t="str">
        <f>MID('CiDi SHEET'!$C$33,VLOOKUP($B27,PC_2,C$1+1,FALSE),1)</f>
        <v>1</v>
      </c>
      <c r="D27" s="1" t="str">
        <f>MID('CiDi SHEET'!$C$33,VLOOKUP($B27,PC_2,D$1+1,FALSE),1)</f>
        <v>1</v>
      </c>
      <c r="E27" s="1" t="str">
        <f>MID('CiDi SHEET'!$C$33,VLOOKUP($B27,PC_2,E$1+1,FALSE),1)</f>
        <v>0</v>
      </c>
      <c r="F27" s="1" t="str">
        <f>MID('CiDi SHEET'!$C$33,VLOOKUP($B27,PC_2,F$1+1,FALSE),1)</f>
        <v>1</v>
      </c>
      <c r="G27" s="1" t="str">
        <f>MID('CiDi SHEET'!$C$33,VLOOKUP($B27,PC_2,G$1+1,FALSE),1)</f>
        <v>0</v>
      </c>
      <c r="H27" s="1" t="str">
        <f>MID('CiDi SHEET'!$C$33,VLOOKUP($B27,PC_2,H$1+1,FALSE),1)</f>
        <v>1</v>
      </c>
      <c r="I27" t="str">
        <f t="shared" si="3"/>
        <v>110101</v>
      </c>
    </row>
    <row r="28" spans="1:50">
      <c r="A28" t="s">
        <v>128</v>
      </c>
      <c r="B28" t="str">
        <f>CONCATENATE(I20,I21,I22,I23,I24,I25,I26,I27)</f>
        <v>000001101110110110100100101011001111010110110101</v>
      </c>
    </row>
    <row r="29" spans="1:50">
      <c r="A29" t="s">
        <v>129</v>
      </c>
      <c r="B29">
        <v>1</v>
      </c>
      <c r="C29" s="1" t="str">
        <f>MID('CiDi SHEET'!$C$34,VLOOKUP($B29,PC_2,C$1+1,FALSE),1)</f>
        <v>1</v>
      </c>
      <c r="D29" s="1" t="str">
        <f>MID('CiDi SHEET'!$C$34,VLOOKUP($B29,PC_2,D$1+1,FALSE),1)</f>
        <v>1</v>
      </c>
      <c r="E29" s="1" t="str">
        <f>MID('CiDi SHEET'!$C$34,VLOOKUP($B29,PC_2,E$1+1,FALSE),1)</f>
        <v>0</v>
      </c>
      <c r="F29" s="1" t="str">
        <f>MID('CiDi SHEET'!$C$34,VLOOKUP($B29,PC_2,F$1+1,FALSE),1)</f>
        <v>1</v>
      </c>
      <c r="G29" s="1" t="str">
        <f>MID('CiDi SHEET'!$C$34,VLOOKUP($B29,PC_2,G$1+1,FALSE),1)</f>
        <v>1</v>
      </c>
      <c r="H29" s="1" t="str">
        <f>MID('CiDi SHEET'!$C$34,VLOOKUP($B29,PC_2,H$1+1,FALSE),1)</f>
        <v>0</v>
      </c>
      <c r="I29" t="str">
        <f t="shared" si="3"/>
        <v>110110</v>
      </c>
    </row>
    <row r="30" spans="1:50">
      <c r="B30">
        <v>2</v>
      </c>
      <c r="C30" s="1" t="str">
        <f>MID('CiDi SHEET'!$C$34,VLOOKUP($B30,PC_2,C$1+1,FALSE),1)</f>
        <v>1</v>
      </c>
      <c r="D30" s="1" t="str">
        <f>MID('CiDi SHEET'!$C$34,VLOOKUP($B30,PC_2,D$1+1,FALSE),1)</f>
        <v>0</v>
      </c>
      <c r="E30" s="1" t="str">
        <f>MID('CiDi SHEET'!$C$34,VLOOKUP($B30,PC_2,E$1+1,FALSE),1)</f>
        <v>0</v>
      </c>
      <c r="F30" s="1" t="str">
        <f>MID('CiDi SHEET'!$C$34,VLOOKUP($B30,PC_2,F$1+1,FALSE),1)</f>
        <v>0</v>
      </c>
      <c r="G30" s="1" t="str">
        <f>MID('CiDi SHEET'!$C$34,VLOOKUP($B30,PC_2,G$1+1,FALSE),1)</f>
        <v>1</v>
      </c>
      <c r="H30" s="1" t="str">
        <f>MID('CiDi SHEET'!$C$34,VLOOKUP($B30,PC_2,H$1+1,FALSE),1)</f>
        <v>0</v>
      </c>
      <c r="I30" t="str">
        <f t="shared" si="3"/>
        <v>100010</v>
      </c>
    </row>
    <row r="31" spans="1:50">
      <c r="B31">
        <v>3</v>
      </c>
      <c r="C31" s="1" t="str">
        <f>MID('CiDi SHEET'!$C$34,VLOOKUP($B31,PC_2,C$1+1,FALSE),1)</f>
        <v>1</v>
      </c>
      <c r="D31" s="1" t="str">
        <f>MID('CiDi SHEET'!$C$34,VLOOKUP($B31,PC_2,D$1+1,FALSE),1)</f>
        <v>1</v>
      </c>
      <c r="E31" s="1" t="str">
        <f>MID('CiDi SHEET'!$C$34,VLOOKUP($B31,PC_2,E$1+1,FALSE),1)</f>
        <v>0</v>
      </c>
      <c r="F31" s="1" t="str">
        <f>MID('CiDi SHEET'!$C$34,VLOOKUP($B31,PC_2,F$1+1,FALSE),1)</f>
        <v>1</v>
      </c>
      <c r="G31" s="1" t="str">
        <f>MID('CiDi SHEET'!$C$34,VLOOKUP($B31,PC_2,G$1+1,FALSE),1)</f>
        <v>0</v>
      </c>
      <c r="H31" s="1" t="str">
        <f>MID('CiDi SHEET'!$C$34,VLOOKUP($B31,PC_2,H$1+1,FALSE),1)</f>
        <v>0</v>
      </c>
      <c r="I31" t="str">
        <f t="shared" si="3"/>
        <v>110100</v>
      </c>
    </row>
    <row r="32" spans="1:50">
      <c r="B32">
        <v>4</v>
      </c>
      <c r="C32" s="1" t="str">
        <f>MID('CiDi SHEET'!$C$34,VLOOKUP($B32,PC_2,C$1+1,FALSE),1)</f>
        <v>0</v>
      </c>
      <c r="D32" s="1" t="str">
        <f>MID('CiDi SHEET'!$C$34,VLOOKUP($B32,PC_2,D$1+1,FALSE),1)</f>
        <v>0</v>
      </c>
      <c r="E32" s="1" t="str">
        <f>MID('CiDi SHEET'!$C$34,VLOOKUP($B32,PC_2,E$1+1,FALSE),1)</f>
        <v>0</v>
      </c>
      <c r="F32" s="1" t="str">
        <f>MID('CiDi SHEET'!$C$34,VLOOKUP($B32,PC_2,F$1+1,FALSE),1)</f>
        <v>0</v>
      </c>
      <c r="G32" s="1" t="str">
        <f>MID('CiDi SHEET'!$C$34,VLOOKUP($B32,PC_2,G$1+1,FALSE),1)</f>
        <v>1</v>
      </c>
      <c r="H32" s="1" t="str">
        <f>MID('CiDi SHEET'!$C$34,VLOOKUP($B32,PC_2,H$1+1,FALSE),1)</f>
        <v>1</v>
      </c>
      <c r="I32" t="str">
        <f t="shared" si="3"/>
        <v>000011</v>
      </c>
    </row>
    <row r="33" spans="1:9">
      <c r="B33">
        <v>5</v>
      </c>
      <c r="C33" s="1" t="str">
        <f>MID('CiDi SHEET'!$C$34,VLOOKUP($B33,PC_2,C$1+1,FALSE),1)</f>
        <v>0</v>
      </c>
      <c r="D33" s="1" t="str">
        <f>MID('CiDi SHEET'!$C$34,VLOOKUP($B33,PC_2,D$1+1,FALSE),1)</f>
        <v>0</v>
      </c>
      <c r="E33" s="1" t="str">
        <f>MID('CiDi SHEET'!$C$34,VLOOKUP($B33,PC_2,E$1+1,FALSE),1)</f>
        <v>1</v>
      </c>
      <c r="F33" s="1" t="str">
        <f>MID('CiDi SHEET'!$C$34,VLOOKUP($B33,PC_2,F$1+1,FALSE),1)</f>
        <v>0</v>
      </c>
      <c r="G33" s="1" t="str">
        <f>MID('CiDi SHEET'!$C$34,VLOOKUP($B33,PC_2,G$1+1,FALSE),1)</f>
        <v>1</v>
      </c>
      <c r="H33" s="1" t="str">
        <f>MID('CiDi SHEET'!$C$34,VLOOKUP($B33,PC_2,H$1+1,FALSE),1)</f>
        <v>0</v>
      </c>
      <c r="I33" t="str">
        <f t="shared" si="3"/>
        <v>001010</v>
      </c>
    </row>
    <row r="34" spans="1:9">
      <c r="B34">
        <v>6</v>
      </c>
      <c r="C34" s="1" t="str">
        <f>MID('CiDi SHEET'!$C$34,VLOOKUP($B34,PC_2,C$1+1,FALSE),1)</f>
        <v>1</v>
      </c>
      <c r="D34" s="1" t="str">
        <f>MID('CiDi SHEET'!$C$34,VLOOKUP($B34,PC_2,D$1+1,FALSE),1)</f>
        <v>1</v>
      </c>
      <c r="E34" s="1" t="str">
        <f>MID('CiDi SHEET'!$C$34,VLOOKUP($B34,PC_2,E$1+1,FALSE),1)</f>
        <v>0</v>
      </c>
      <c r="F34" s="1" t="str">
        <f>MID('CiDi SHEET'!$C$34,VLOOKUP($B34,PC_2,F$1+1,FALSE),1)</f>
        <v>1</v>
      </c>
      <c r="G34" s="1" t="str">
        <f>MID('CiDi SHEET'!$C$34,VLOOKUP($B34,PC_2,G$1+1,FALSE),1)</f>
        <v>1</v>
      </c>
      <c r="H34" s="1" t="str">
        <f>MID('CiDi SHEET'!$C$34,VLOOKUP($B34,PC_2,H$1+1,FALSE),1)</f>
        <v>0</v>
      </c>
      <c r="I34" t="str">
        <f t="shared" si="3"/>
        <v>110110</v>
      </c>
    </row>
    <row r="35" spans="1:9">
      <c r="B35">
        <v>7</v>
      </c>
      <c r="C35" s="1" t="str">
        <f>MID('CiDi SHEET'!$C$34,VLOOKUP($B35,PC_2,C$1+1,FALSE),1)</f>
        <v>1</v>
      </c>
      <c r="D35" s="1" t="str">
        <f>MID('CiDi SHEET'!$C$34,VLOOKUP($B35,PC_2,D$1+1,FALSE),1)</f>
        <v>1</v>
      </c>
      <c r="E35" s="1" t="str">
        <f>MID('CiDi SHEET'!$C$34,VLOOKUP($B35,PC_2,E$1+1,FALSE),1)</f>
        <v>1</v>
      </c>
      <c r="F35" s="1" t="str">
        <f>MID('CiDi SHEET'!$C$34,VLOOKUP($B35,PC_2,F$1+1,FALSE),1)</f>
        <v>0</v>
      </c>
      <c r="G35" s="1" t="str">
        <f>MID('CiDi SHEET'!$C$34,VLOOKUP($B35,PC_2,G$1+1,FALSE),1)</f>
        <v>1</v>
      </c>
      <c r="H35" s="1" t="str">
        <f>MID('CiDi SHEET'!$C$34,VLOOKUP($B35,PC_2,H$1+1,FALSE),1)</f>
        <v>1</v>
      </c>
      <c r="I35" t="str">
        <f t="shared" si="3"/>
        <v>111011</v>
      </c>
    </row>
    <row r="36" spans="1:9">
      <c r="B36">
        <v>8</v>
      </c>
      <c r="C36" s="1" t="str">
        <f>MID('CiDi SHEET'!$C$34,VLOOKUP($B36,PC_2,C$1+1,FALSE),1)</f>
        <v>1</v>
      </c>
      <c r="D36" s="1" t="str">
        <f>MID('CiDi SHEET'!$C$34,VLOOKUP($B36,PC_2,D$1+1,FALSE),1)</f>
        <v>0</v>
      </c>
      <c r="E36" s="1" t="str">
        <f>MID('CiDi SHEET'!$C$34,VLOOKUP($B36,PC_2,E$1+1,FALSE),1)</f>
        <v>0</v>
      </c>
      <c r="F36" s="1" t="str">
        <f>MID('CiDi SHEET'!$C$34,VLOOKUP($B36,PC_2,F$1+1,FALSE),1)</f>
        <v>0</v>
      </c>
      <c r="G36" s="1" t="str">
        <f>MID('CiDi SHEET'!$C$34,VLOOKUP($B36,PC_2,G$1+1,FALSE),1)</f>
        <v>1</v>
      </c>
      <c r="H36" s="1" t="str">
        <f>MID('CiDi SHEET'!$C$34,VLOOKUP($B36,PC_2,H$1+1,FALSE),1)</f>
        <v>1</v>
      </c>
      <c r="I36" t="str">
        <f t="shared" si="3"/>
        <v>100011</v>
      </c>
    </row>
    <row r="37" spans="1:9">
      <c r="A37" t="s">
        <v>129</v>
      </c>
      <c r="B37" t="str">
        <f>CONCATENATE(I29,I30,I31,I32,I33,I34,I35,I36)</f>
        <v>110110100010110100000011001010110110111011100011</v>
      </c>
    </row>
    <row r="38" spans="1:9">
      <c r="A38" t="s">
        <v>130</v>
      </c>
      <c r="B38">
        <v>1</v>
      </c>
      <c r="C38" s="1" t="str">
        <f>MID('CiDi SHEET'!$C$35,VLOOKUP($B38,PC_2,C$1+1,FALSE),1)</f>
        <v>0</v>
      </c>
      <c r="D38" s="1" t="str">
        <f>MID('CiDi SHEET'!$C$35,VLOOKUP($B38,PC_2,D$1+1,FALSE),1)</f>
        <v>1</v>
      </c>
      <c r="E38" s="1" t="str">
        <f>MID('CiDi SHEET'!$C$35,VLOOKUP($B38,PC_2,E$1+1,FALSE),1)</f>
        <v>1</v>
      </c>
      <c r="F38" s="1" t="str">
        <f>MID('CiDi SHEET'!$C$35,VLOOKUP($B38,PC_2,F$1+1,FALSE),1)</f>
        <v>0</v>
      </c>
      <c r="G38" s="1" t="str">
        <f>MID('CiDi SHEET'!$C$35,VLOOKUP($B38,PC_2,G$1+1,FALSE),1)</f>
        <v>1</v>
      </c>
      <c r="H38" s="1" t="str">
        <f>MID('CiDi SHEET'!$C$35,VLOOKUP($B38,PC_2,H$1+1,FALSE),1)</f>
        <v>0</v>
      </c>
      <c r="I38" t="str">
        <f t="shared" si="3"/>
        <v>011010</v>
      </c>
    </row>
    <row r="39" spans="1:9">
      <c r="B39">
        <v>2</v>
      </c>
      <c r="C39" s="1" t="str">
        <f>MID('CiDi SHEET'!$C$35,VLOOKUP($B39,PC_2,C$1+1,FALSE),1)</f>
        <v>0</v>
      </c>
      <c r="D39" s="1" t="str">
        <f>MID('CiDi SHEET'!$C$35,VLOOKUP($B39,PC_2,D$1+1,FALSE),1)</f>
        <v>1</v>
      </c>
      <c r="E39" s="1" t="str">
        <f>MID('CiDi SHEET'!$C$35,VLOOKUP($B39,PC_2,E$1+1,FALSE),1)</f>
        <v>1</v>
      </c>
      <c r="F39" s="1" t="str">
        <f>MID('CiDi SHEET'!$C$35,VLOOKUP($B39,PC_2,F$1+1,FALSE),1)</f>
        <v>0</v>
      </c>
      <c r="G39" s="1" t="str">
        <f>MID('CiDi SHEET'!$C$35,VLOOKUP($B39,PC_2,G$1+1,FALSE),1)</f>
        <v>1</v>
      </c>
      <c r="H39" s="1" t="str">
        <f>MID('CiDi SHEET'!$C$35,VLOOKUP($B39,PC_2,H$1+1,FALSE),1)</f>
        <v>0</v>
      </c>
      <c r="I39" t="str">
        <f t="shared" si="3"/>
        <v>011010</v>
      </c>
    </row>
    <row r="40" spans="1:9">
      <c r="B40">
        <v>3</v>
      </c>
      <c r="C40" s="1" t="str">
        <f>MID('CiDi SHEET'!$C$35,VLOOKUP($B40,PC_2,C$1+1,FALSE),1)</f>
        <v>0</v>
      </c>
      <c r="D40" s="1" t="str">
        <f>MID('CiDi SHEET'!$C$35,VLOOKUP($B40,PC_2,D$1+1,FALSE),1)</f>
        <v>1</v>
      </c>
      <c r="E40" s="1" t="str">
        <f>MID('CiDi SHEET'!$C$35,VLOOKUP($B40,PC_2,E$1+1,FALSE),1)</f>
        <v>1</v>
      </c>
      <c r="F40" s="1" t="str">
        <f>MID('CiDi SHEET'!$C$35,VLOOKUP($B40,PC_2,F$1+1,FALSE),1)</f>
        <v>0</v>
      </c>
      <c r="G40" s="1" t="str">
        <f>MID('CiDi SHEET'!$C$35,VLOOKUP($B40,PC_2,G$1+1,FALSE),1)</f>
        <v>0</v>
      </c>
      <c r="H40" s="1" t="str">
        <f>MID('CiDi SHEET'!$C$35,VLOOKUP($B40,PC_2,H$1+1,FALSE),1)</f>
        <v>0</v>
      </c>
      <c r="I40" t="str">
        <f t="shared" si="3"/>
        <v>011000</v>
      </c>
    </row>
    <row r="41" spans="1:9">
      <c r="B41">
        <v>4</v>
      </c>
      <c r="C41" s="1" t="str">
        <f>MID('CiDi SHEET'!$C$35,VLOOKUP($B41,PC_2,C$1+1,FALSE),1)</f>
        <v>1</v>
      </c>
      <c r="D41" s="1" t="str">
        <f>MID('CiDi SHEET'!$C$35,VLOOKUP($B41,PC_2,D$1+1,FALSE),1)</f>
        <v>0</v>
      </c>
      <c r="E41" s="1" t="str">
        <f>MID('CiDi SHEET'!$C$35,VLOOKUP($B41,PC_2,E$1+1,FALSE),1)</f>
        <v>1</v>
      </c>
      <c r="F41" s="1" t="str">
        <f>MID('CiDi SHEET'!$C$35,VLOOKUP($B41,PC_2,F$1+1,FALSE),1)</f>
        <v>0</v>
      </c>
      <c r="G41" s="1" t="str">
        <f>MID('CiDi SHEET'!$C$35,VLOOKUP($B41,PC_2,G$1+1,FALSE),1)</f>
        <v>0</v>
      </c>
      <c r="H41" s="1" t="str">
        <f>MID('CiDi SHEET'!$C$35,VLOOKUP($B41,PC_2,H$1+1,FALSE),1)</f>
        <v>1</v>
      </c>
      <c r="I41" t="str">
        <f t="shared" si="3"/>
        <v>101001</v>
      </c>
    </row>
    <row r="42" spans="1:9">
      <c r="B42">
        <v>5</v>
      </c>
      <c r="C42" s="1" t="str">
        <f>MID('CiDi SHEET'!$C$35,VLOOKUP($B42,PC_2,C$1+1,FALSE),1)</f>
        <v>1</v>
      </c>
      <c r="D42" s="1" t="str">
        <f>MID('CiDi SHEET'!$C$35,VLOOKUP($B42,PC_2,D$1+1,FALSE),1)</f>
        <v>1</v>
      </c>
      <c r="E42" s="1" t="str">
        <f>MID('CiDi SHEET'!$C$35,VLOOKUP($B42,PC_2,E$1+1,FALSE),1)</f>
        <v>1</v>
      </c>
      <c r="F42" s="1" t="str">
        <f>MID('CiDi SHEET'!$C$35,VLOOKUP($B42,PC_2,F$1+1,FALSE),1)</f>
        <v>1</v>
      </c>
      <c r="G42" s="1" t="str">
        <f>MID('CiDi SHEET'!$C$35,VLOOKUP($B42,PC_2,G$1+1,FALSE),1)</f>
        <v>1</v>
      </c>
      <c r="H42" s="1" t="str">
        <f>MID('CiDi SHEET'!$C$35,VLOOKUP($B42,PC_2,H$1+1,FALSE),1)</f>
        <v>1</v>
      </c>
      <c r="I42" t="str">
        <f t="shared" si="3"/>
        <v>111111</v>
      </c>
    </row>
    <row r="43" spans="1:9">
      <c r="B43">
        <v>6</v>
      </c>
      <c r="C43" s="1" t="str">
        <f>MID('CiDi SHEET'!$C$35,VLOOKUP($B43,PC_2,C$1+1,FALSE),1)</f>
        <v>1</v>
      </c>
      <c r="D43" s="1" t="str">
        <f>MID('CiDi SHEET'!$C$35,VLOOKUP($B43,PC_2,D$1+1,FALSE),1)</f>
        <v>0</v>
      </c>
      <c r="E43" s="1" t="str">
        <f>MID('CiDi SHEET'!$C$35,VLOOKUP($B43,PC_2,E$1+1,FALSE),1)</f>
        <v>1</v>
      </c>
      <c r="F43" s="1" t="str">
        <f>MID('CiDi SHEET'!$C$35,VLOOKUP($B43,PC_2,F$1+1,FALSE),1)</f>
        <v>1</v>
      </c>
      <c r="G43" s="1" t="str">
        <f>MID('CiDi SHEET'!$C$35,VLOOKUP($B43,PC_2,G$1+1,FALSE),1)</f>
        <v>0</v>
      </c>
      <c r="H43" s="1" t="str">
        <f>MID('CiDi SHEET'!$C$35,VLOOKUP($B43,PC_2,H$1+1,FALSE),1)</f>
        <v>0</v>
      </c>
      <c r="I43" t="str">
        <f t="shared" si="3"/>
        <v>101100</v>
      </c>
    </row>
    <row r="44" spans="1:9">
      <c r="B44">
        <v>7</v>
      </c>
      <c r="C44" s="1" t="str">
        <f>MID('CiDi SHEET'!$C$35,VLOOKUP($B44,PC_2,C$1+1,FALSE),1)</f>
        <v>1</v>
      </c>
      <c r="D44" s="1" t="str">
        <f>MID('CiDi SHEET'!$C$35,VLOOKUP($B44,PC_2,D$1+1,FALSE),1)</f>
        <v>0</v>
      </c>
      <c r="E44" s="1" t="str">
        <f>MID('CiDi SHEET'!$C$35,VLOOKUP($B44,PC_2,E$1+1,FALSE),1)</f>
        <v>0</v>
      </c>
      <c r="F44" s="1" t="str">
        <f>MID('CiDi SHEET'!$C$35,VLOOKUP($B44,PC_2,F$1+1,FALSE),1)</f>
        <v>1</v>
      </c>
      <c r="G44" s="1" t="str">
        <f>MID('CiDi SHEET'!$C$35,VLOOKUP($B44,PC_2,G$1+1,FALSE),1)</f>
        <v>0</v>
      </c>
      <c r="H44" s="1" t="str">
        <f>MID('CiDi SHEET'!$C$35,VLOOKUP($B44,PC_2,H$1+1,FALSE),1)</f>
        <v>0</v>
      </c>
      <c r="I44" t="str">
        <f t="shared" si="3"/>
        <v>100100</v>
      </c>
    </row>
    <row r="45" spans="1:9">
      <c r="B45">
        <v>8</v>
      </c>
      <c r="C45" s="1" t="str">
        <f>MID('CiDi SHEET'!$C$35,VLOOKUP($B45,PC_2,C$1+1,FALSE),1)</f>
        <v>0</v>
      </c>
      <c r="D45" s="1" t="str">
        <f>MID('CiDi SHEET'!$C$35,VLOOKUP($B45,PC_2,D$1+1,FALSE),1)</f>
        <v>1</v>
      </c>
      <c r="E45" s="1" t="str">
        <f>MID('CiDi SHEET'!$C$35,VLOOKUP($B45,PC_2,E$1+1,FALSE),1)</f>
        <v>0</v>
      </c>
      <c r="F45" s="1" t="str">
        <f>MID('CiDi SHEET'!$C$35,VLOOKUP($B45,PC_2,F$1+1,FALSE),1)</f>
        <v>0</v>
      </c>
      <c r="G45" s="1" t="str">
        <f>MID('CiDi SHEET'!$C$35,VLOOKUP($B45,PC_2,G$1+1,FALSE),1)</f>
        <v>1</v>
      </c>
      <c r="H45" s="1" t="str">
        <f>MID('CiDi SHEET'!$C$35,VLOOKUP($B45,PC_2,H$1+1,FALSE),1)</f>
        <v>1</v>
      </c>
      <c r="I45" t="str">
        <f t="shared" si="3"/>
        <v>010011</v>
      </c>
    </row>
    <row r="46" spans="1:9">
      <c r="A46" t="s">
        <v>130</v>
      </c>
      <c r="B46" t="str">
        <f>CONCATENATE(I38,I39,I40,I41,I42,I43,I44,I45)</f>
        <v>011010011010011000101001111111101100100100010011</v>
      </c>
    </row>
    <row r="47" spans="1:9">
      <c r="A47" t="s">
        <v>131</v>
      </c>
      <c r="B47">
        <v>1</v>
      </c>
      <c r="C47" s="1" t="str">
        <f>MID('CiDi SHEET'!$C$36,VLOOKUP($B47,PC_2,C$1+1,FALSE),1)</f>
        <v>1</v>
      </c>
      <c r="D47" s="1" t="str">
        <f>MID('CiDi SHEET'!$C$36,VLOOKUP($B47,PC_2,D$1+1,FALSE),1)</f>
        <v>1</v>
      </c>
      <c r="E47" s="1" t="str">
        <f>MID('CiDi SHEET'!$C$36,VLOOKUP($B47,PC_2,E$1+1,FALSE),1)</f>
        <v>0</v>
      </c>
      <c r="F47" s="1" t="str">
        <f>MID('CiDi SHEET'!$C$36,VLOOKUP($B47,PC_2,F$1+1,FALSE),1)</f>
        <v>0</v>
      </c>
      <c r="G47" s="1" t="str">
        <f>MID('CiDi SHEET'!$C$36,VLOOKUP($B47,PC_2,G$1+1,FALSE),1)</f>
        <v>0</v>
      </c>
      <c r="H47" s="1" t="str">
        <f>MID('CiDi SHEET'!$C$36,VLOOKUP($B47,PC_2,H$1+1,FALSE),1)</f>
        <v>0</v>
      </c>
      <c r="I47" t="str">
        <f t="shared" si="3"/>
        <v>110000</v>
      </c>
    </row>
    <row r="48" spans="1:9">
      <c r="B48">
        <v>2</v>
      </c>
      <c r="C48" s="1" t="str">
        <f>MID('CiDi SHEET'!$C$36,VLOOKUP($B48,PC_2,C$1+1,FALSE),1)</f>
        <v>0</v>
      </c>
      <c r="D48" s="1" t="str">
        <f>MID('CiDi SHEET'!$C$36,VLOOKUP($B48,PC_2,D$1+1,FALSE),1)</f>
        <v>1</v>
      </c>
      <c r="E48" s="1" t="str">
        <f>MID('CiDi SHEET'!$C$36,VLOOKUP($B48,PC_2,E$1+1,FALSE),1)</f>
        <v>1</v>
      </c>
      <c r="F48" s="1" t="str">
        <f>MID('CiDi SHEET'!$C$36,VLOOKUP($B48,PC_2,F$1+1,FALSE),1)</f>
        <v>0</v>
      </c>
      <c r="G48" s="1" t="str">
        <f>MID('CiDi SHEET'!$C$36,VLOOKUP($B48,PC_2,G$1+1,FALSE),1)</f>
        <v>0</v>
      </c>
      <c r="H48" s="1" t="str">
        <f>MID('CiDi SHEET'!$C$36,VLOOKUP($B48,PC_2,H$1+1,FALSE),1)</f>
        <v>1</v>
      </c>
      <c r="I48" t="str">
        <f t="shared" si="3"/>
        <v>011001</v>
      </c>
    </row>
    <row r="49" spans="1:9">
      <c r="B49">
        <v>3</v>
      </c>
      <c r="C49" s="1" t="str">
        <f>MID('CiDi SHEET'!$C$36,VLOOKUP($B49,PC_2,C$1+1,FALSE),1)</f>
        <v>0</v>
      </c>
      <c r="D49" s="1" t="str">
        <f>MID('CiDi SHEET'!$C$36,VLOOKUP($B49,PC_2,D$1+1,FALSE),1)</f>
        <v>1</v>
      </c>
      <c r="E49" s="1" t="str">
        <f>MID('CiDi SHEET'!$C$36,VLOOKUP($B49,PC_2,E$1+1,FALSE),1)</f>
        <v>0</v>
      </c>
      <c r="F49" s="1" t="str">
        <f>MID('CiDi SHEET'!$C$36,VLOOKUP($B49,PC_2,F$1+1,FALSE),1)</f>
        <v>0</v>
      </c>
      <c r="G49" s="1" t="str">
        <f>MID('CiDi SHEET'!$C$36,VLOOKUP($B49,PC_2,G$1+1,FALSE),1)</f>
        <v>1</v>
      </c>
      <c r="H49" s="1" t="str">
        <f>MID('CiDi SHEET'!$C$36,VLOOKUP($B49,PC_2,H$1+1,FALSE),1)</f>
        <v>0</v>
      </c>
      <c r="I49" t="str">
        <f t="shared" si="3"/>
        <v>010010</v>
      </c>
    </row>
    <row r="50" spans="1:9">
      <c r="B50">
        <v>4</v>
      </c>
      <c r="C50" s="1" t="str">
        <f>MID('CiDi SHEET'!$C$36,VLOOKUP($B50,PC_2,C$1+1,FALSE),1)</f>
        <v>0</v>
      </c>
      <c r="D50" s="1" t="str">
        <f>MID('CiDi SHEET'!$C$36,VLOOKUP($B50,PC_2,D$1+1,FALSE),1)</f>
        <v>0</v>
      </c>
      <c r="E50" s="1" t="str">
        <f>MID('CiDi SHEET'!$C$36,VLOOKUP($B50,PC_2,E$1+1,FALSE),1)</f>
        <v>1</v>
      </c>
      <c r="F50" s="1" t="str">
        <f>MID('CiDi SHEET'!$C$36,VLOOKUP($B50,PC_2,F$1+1,FALSE),1)</f>
        <v>1</v>
      </c>
      <c r="G50" s="1" t="str">
        <f>MID('CiDi SHEET'!$C$36,VLOOKUP($B50,PC_2,G$1+1,FALSE),1)</f>
        <v>1</v>
      </c>
      <c r="H50" s="1" t="str">
        <f>MID('CiDi SHEET'!$C$36,VLOOKUP($B50,PC_2,H$1+1,FALSE),1)</f>
        <v>0</v>
      </c>
      <c r="I50" t="str">
        <f t="shared" si="3"/>
        <v>001110</v>
      </c>
    </row>
    <row r="51" spans="1:9">
      <c r="B51">
        <v>5</v>
      </c>
      <c r="C51" s="1" t="str">
        <f>MID('CiDi SHEET'!$C$36,VLOOKUP($B51,PC_2,C$1+1,FALSE),1)</f>
        <v>1</v>
      </c>
      <c r="D51" s="1" t="str">
        <f>MID('CiDi SHEET'!$C$36,VLOOKUP($B51,PC_2,D$1+1,FALSE),1)</f>
        <v>0</v>
      </c>
      <c r="E51" s="1" t="str">
        <f>MID('CiDi SHEET'!$C$36,VLOOKUP($B51,PC_2,E$1+1,FALSE),1)</f>
        <v>0</v>
      </c>
      <c r="F51" s="1" t="str">
        <f>MID('CiDi SHEET'!$C$36,VLOOKUP($B51,PC_2,F$1+1,FALSE),1)</f>
        <v>0</v>
      </c>
      <c r="G51" s="1" t="str">
        <f>MID('CiDi SHEET'!$C$36,VLOOKUP($B51,PC_2,G$1+1,FALSE),1)</f>
        <v>0</v>
      </c>
      <c r="H51" s="1" t="str">
        <f>MID('CiDi SHEET'!$C$36,VLOOKUP($B51,PC_2,H$1+1,FALSE),1)</f>
        <v>1</v>
      </c>
      <c r="I51" t="str">
        <f t="shared" si="3"/>
        <v>100001</v>
      </c>
    </row>
    <row r="52" spans="1:9">
      <c r="B52">
        <v>6</v>
      </c>
      <c r="C52" s="1" t="str">
        <f>MID('CiDi SHEET'!$C$36,VLOOKUP($B52,PC_2,C$1+1,FALSE),1)</f>
        <v>1</v>
      </c>
      <c r="D52" s="1" t="str">
        <f>MID('CiDi SHEET'!$C$36,VLOOKUP($B52,PC_2,D$1+1,FALSE),1)</f>
        <v>1</v>
      </c>
      <c r="E52" s="1" t="str">
        <f>MID('CiDi SHEET'!$C$36,VLOOKUP($B52,PC_2,E$1+1,FALSE),1)</f>
        <v>0</v>
      </c>
      <c r="F52" s="1" t="str">
        <f>MID('CiDi SHEET'!$C$36,VLOOKUP($B52,PC_2,F$1+1,FALSE),1)</f>
        <v>1</v>
      </c>
      <c r="G52" s="1" t="str">
        <f>MID('CiDi SHEET'!$C$36,VLOOKUP($B52,PC_2,G$1+1,FALSE),1)</f>
        <v>0</v>
      </c>
      <c r="H52" s="1" t="str">
        <f>MID('CiDi SHEET'!$C$36,VLOOKUP($B52,PC_2,H$1+1,FALSE),1)</f>
        <v>0</v>
      </c>
      <c r="I52" t="str">
        <f t="shared" si="3"/>
        <v>110100</v>
      </c>
    </row>
    <row r="53" spans="1:9">
      <c r="B53">
        <v>7</v>
      </c>
      <c r="C53" s="1" t="str">
        <f>MID('CiDi SHEET'!$C$36,VLOOKUP($B53,PC_2,C$1+1,FALSE),1)</f>
        <v>0</v>
      </c>
      <c r="D53" s="1" t="str">
        <f>MID('CiDi SHEET'!$C$36,VLOOKUP($B53,PC_2,D$1+1,FALSE),1)</f>
        <v>1</v>
      </c>
      <c r="E53" s="1" t="str">
        <f>MID('CiDi SHEET'!$C$36,VLOOKUP($B53,PC_2,E$1+1,FALSE),1)</f>
        <v>1</v>
      </c>
      <c r="F53" s="1" t="str">
        <f>MID('CiDi SHEET'!$C$36,VLOOKUP($B53,PC_2,F$1+1,FALSE),1)</f>
        <v>1</v>
      </c>
      <c r="G53" s="1" t="str">
        <f>MID('CiDi SHEET'!$C$36,VLOOKUP($B53,PC_2,G$1+1,FALSE),1)</f>
        <v>0</v>
      </c>
      <c r="H53" s="1" t="str">
        <f>MID('CiDi SHEET'!$C$36,VLOOKUP($B53,PC_2,H$1+1,FALSE),1)</f>
        <v>1</v>
      </c>
      <c r="I53" t="str">
        <f t="shared" si="3"/>
        <v>011101</v>
      </c>
    </row>
    <row r="54" spans="1:9">
      <c r="B54">
        <v>8</v>
      </c>
      <c r="C54" s="1" t="str">
        <f>MID('CiDi SHEET'!$C$36,VLOOKUP($B54,PC_2,C$1+1,FALSE),1)</f>
        <v>0</v>
      </c>
      <c r="D54" s="1" t="str">
        <f>MID('CiDi SHEET'!$C$36,VLOOKUP($B54,PC_2,D$1+1,FALSE),1)</f>
        <v>1</v>
      </c>
      <c r="E54" s="1" t="str">
        <f>MID('CiDi SHEET'!$C$36,VLOOKUP($B54,PC_2,E$1+1,FALSE),1)</f>
        <v>1</v>
      </c>
      <c r="F54" s="1" t="str">
        <f>MID('CiDi SHEET'!$C$36,VLOOKUP($B54,PC_2,F$1+1,FALSE),1)</f>
        <v>1</v>
      </c>
      <c r="G54" s="1" t="str">
        <f>MID('CiDi SHEET'!$C$36,VLOOKUP($B54,PC_2,G$1+1,FALSE),1)</f>
        <v>1</v>
      </c>
      <c r="H54" s="1" t="str">
        <f>MID('CiDi SHEET'!$C$36,VLOOKUP($B54,PC_2,H$1+1,FALSE),1)</f>
        <v>0</v>
      </c>
      <c r="I54" t="str">
        <f t="shared" si="3"/>
        <v>011110</v>
      </c>
    </row>
    <row r="55" spans="1:9">
      <c r="A55" t="s">
        <v>131</v>
      </c>
      <c r="B55" t="str">
        <f>CONCATENATE(I47,I48,I49,I50,I51,I52,I53,I54)</f>
        <v>110000011001010010001110100001110100011101011110</v>
      </c>
    </row>
    <row r="56" spans="1:9">
      <c r="A56" t="s">
        <v>132</v>
      </c>
      <c r="B56">
        <v>1</v>
      </c>
      <c r="C56" s="1" t="str">
        <f>MID('CiDi SHEET'!$C$37,VLOOKUP($B56,PC_2,C$1+1,FALSE),1)</f>
        <v>0</v>
      </c>
      <c r="D56" s="1" t="str">
        <f>MID('CiDi SHEET'!$C$37,VLOOKUP($B56,PC_2,D$1+1,FALSE),1)</f>
        <v>1</v>
      </c>
      <c r="E56" s="1" t="str">
        <f>MID('CiDi SHEET'!$C$37,VLOOKUP($B56,PC_2,E$1+1,FALSE),1)</f>
        <v>1</v>
      </c>
      <c r="F56" s="1" t="str">
        <f>MID('CiDi SHEET'!$C$37,VLOOKUP($B56,PC_2,F$1+1,FALSE),1)</f>
        <v>1</v>
      </c>
      <c r="G56" s="1" t="str">
        <f>MID('CiDi SHEET'!$C$37,VLOOKUP($B56,PC_2,G$1+1,FALSE),1)</f>
        <v>0</v>
      </c>
      <c r="H56" s="1" t="str">
        <f>MID('CiDi SHEET'!$C$37,VLOOKUP($B56,PC_2,H$1+1,FALSE),1)</f>
        <v>0</v>
      </c>
      <c r="I56" t="str">
        <f t="shared" si="3"/>
        <v>011100</v>
      </c>
    </row>
    <row r="57" spans="1:9">
      <c r="B57">
        <v>2</v>
      </c>
      <c r="C57" s="1" t="str">
        <f>MID('CiDi SHEET'!$C$37,VLOOKUP($B57,PC_2,C$1+1,FALSE),1)</f>
        <v>0</v>
      </c>
      <c r="D57" s="1" t="str">
        <f>MID('CiDi SHEET'!$C$37,VLOOKUP($B57,PC_2,D$1+1,FALSE),1)</f>
        <v>0</v>
      </c>
      <c r="E57" s="1" t="str">
        <f>MID('CiDi SHEET'!$C$37,VLOOKUP($B57,PC_2,E$1+1,FALSE),1)</f>
        <v>1</v>
      </c>
      <c r="F57" s="1" t="str">
        <f>MID('CiDi SHEET'!$C$37,VLOOKUP($B57,PC_2,F$1+1,FALSE),1)</f>
        <v>0</v>
      </c>
      <c r="G57" s="1" t="str">
        <f>MID('CiDi SHEET'!$C$37,VLOOKUP($B57,PC_2,G$1+1,FALSE),1)</f>
        <v>0</v>
      </c>
      <c r="H57" s="1" t="str">
        <f>MID('CiDi SHEET'!$C$37,VLOOKUP($B57,PC_2,H$1+1,FALSE),1)</f>
        <v>0</v>
      </c>
      <c r="I57" t="str">
        <f t="shared" si="3"/>
        <v>001000</v>
      </c>
    </row>
    <row r="58" spans="1:9">
      <c r="B58">
        <v>3</v>
      </c>
      <c r="C58" s="1" t="str">
        <f>MID('CiDi SHEET'!$C$37,VLOOKUP($B58,PC_2,C$1+1,FALSE),1)</f>
        <v>1</v>
      </c>
      <c r="D58" s="1" t="str">
        <f>MID('CiDi SHEET'!$C$37,VLOOKUP($B58,PC_2,D$1+1,FALSE),1)</f>
        <v>0</v>
      </c>
      <c r="E58" s="1" t="str">
        <f>MID('CiDi SHEET'!$C$37,VLOOKUP($B58,PC_2,E$1+1,FALSE),1)</f>
        <v>1</v>
      </c>
      <c r="F58" s="1" t="str">
        <f>MID('CiDi SHEET'!$C$37,VLOOKUP($B58,PC_2,F$1+1,FALSE),1)</f>
        <v>0</v>
      </c>
      <c r="G58" s="1" t="str">
        <f>MID('CiDi SHEET'!$C$37,VLOOKUP($B58,PC_2,G$1+1,FALSE),1)</f>
        <v>1</v>
      </c>
      <c r="H58" s="1" t="str">
        <f>MID('CiDi SHEET'!$C$37,VLOOKUP($B58,PC_2,H$1+1,FALSE),1)</f>
        <v>1</v>
      </c>
      <c r="I58" t="str">
        <f t="shared" si="3"/>
        <v>101011</v>
      </c>
    </row>
    <row r="59" spans="1:9">
      <c r="B59">
        <v>4</v>
      </c>
      <c r="C59" s="1" t="str">
        <f>MID('CiDi SHEET'!$C$37,VLOOKUP($B59,PC_2,C$1+1,FALSE),1)</f>
        <v>0</v>
      </c>
      <c r="D59" s="1" t="str">
        <f>MID('CiDi SHEET'!$C$37,VLOOKUP($B59,PC_2,D$1+1,FALSE),1)</f>
        <v>1</v>
      </c>
      <c r="E59" s="1" t="str">
        <f>MID('CiDi SHEET'!$C$37,VLOOKUP($B59,PC_2,E$1+1,FALSE),1)</f>
        <v>0</v>
      </c>
      <c r="F59" s="1" t="str">
        <f>MID('CiDi SHEET'!$C$37,VLOOKUP($B59,PC_2,F$1+1,FALSE),1)</f>
        <v>0</v>
      </c>
      <c r="G59" s="1" t="str">
        <f>MID('CiDi SHEET'!$C$37,VLOOKUP($B59,PC_2,G$1+1,FALSE),1)</f>
        <v>1</v>
      </c>
      <c r="H59" s="1" t="str">
        <f>MID('CiDi SHEET'!$C$37,VLOOKUP($B59,PC_2,H$1+1,FALSE),1)</f>
        <v>0</v>
      </c>
      <c r="I59" t="str">
        <f t="shared" si="3"/>
        <v>010010</v>
      </c>
    </row>
    <row r="60" spans="1:9">
      <c r="B60">
        <v>5</v>
      </c>
      <c r="C60" s="1" t="str">
        <f>MID('CiDi SHEET'!$C$37,VLOOKUP($B60,PC_2,C$1+1,FALSE),1)</f>
        <v>1</v>
      </c>
      <c r="D60" s="1" t="str">
        <f>MID('CiDi SHEET'!$C$37,VLOOKUP($B60,PC_2,D$1+1,FALSE),1)</f>
        <v>1</v>
      </c>
      <c r="E60" s="1" t="str">
        <f>MID('CiDi SHEET'!$C$37,VLOOKUP($B60,PC_2,E$1+1,FALSE),1)</f>
        <v>0</v>
      </c>
      <c r="F60" s="1" t="str">
        <f>MID('CiDi SHEET'!$C$37,VLOOKUP($B60,PC_2,F$1+1,FALSE),1)</f>
        <v>1</v>
      </c>
      <c r="G60" s="1" t="str">
        <f>MID('CiDi SHEET'!$C$37,VLOOKUP($B60,PC_2,G$1+1,FALSE),1)</f>
        <v>1</v>
      </c>
      <c r="H60" s="1" t="str">
        <f>MID('CiDi SHEET'!$C$37,VLOOKUP($B60,PC_2,H$1+1,FALSE),1)</f>
        <v>1</v>
      </c>
      <c r="I60" t="str">
        <f t="shared" si="3"/>
        <v>110111</v>
      </c>
    </row>
    <row r="61" spans="1:9">
      <c r="B61">
        <v>6</v>
      </c>
      <c r="C61" s="1" t="str">
        <f>MID('CiDi SHEET'!$C$37,VLOOKUP($B61,PC_2,C$1+1,FALSE),1)</f>
        <v>0</v>
      </c>
      <c r="D61" s="1" t="str">
        <f>MID('CiDi SHEET'!$C$37,VLOOKUP($B61,PC_2,D$1+1,FALSE),1)</f>
        <v>1</v>
      </c>
      <c r="E61" s="1" t="str">
        <f>MID('CiDi SHEET'!$C$37,VLOOKUP($B61,PC_2,E$1+1,FALSE),1)</f>
        <v>1</v>
      </c>
      <c r="F61" s="1" t="str">
        <f>MID('CiDi SHEET'!$C$37,VLOOKUP($B61,PC_2,F$1+1,FALSE),1)</f>
        <v>0</v>
      </c>
      <c r="G61" s="1" t="str">
        <f>MID('CiDi SHEET'!$C$37,VLOOKUP($B61,PC_2,G$1+1,FALSE),1)</f>
        <v>1</v>
      </c>
      <c r="H61" s="1" t="str">
        <f>MID('CiDi SHEET'!$C$37,VLOOKUP($B61,PC_2,H$1+1,FALSE),1)</f>
        <v>1</v>
      </c>
      <c r="I61" t="str">
        <f t="shared" si="3"/>
        <v>011011</v>
      </c>
    </row>
    <row r="62" spans="1:9">
      <c r="B62">
        <v>7</v>
      </c>
      <c r="C62" s="1" t="str">
        <f>MID('CiDi SHEET'!$C$37,VLOOKUP($B62,PC_2,C$1+1,FALSE),1)</f>
        <v>0</v>
      </c>
      <c r="D62" s="1" t="str">
        <f>MID('CiDi SHEET'!$C$37,VLOOKUP($B62,PC_2,D$1+1,FALSE),1)</f>
        <v>0</v>
      </c>
      <c r="E62" s="1" t="str">
        <f>MID('CiDi SHEET'!$C$37,VLOOKUP($B62,PC_2,E$1+1,FALSE),1)</f>
        <v>1</v>
      </c>
      <c r="F62" s="1" t="str">
        <f>MID('CiDi SHEET'!$C$37,VLOOKUP($B62,PC_2,F$1+1,FALSE),1)</f>
        <v>1</v>
      </c>
      <c r="G62" s="1" t="str">
        <f>MID('CiDi SHEET'!$C$37,VLOOKUP($B62,PC_2,G$1+1,FALSE),1)</f>
        <v>1</v>
      </c>
      <c r="H62" s="1" t="str">
        <f>MID('CiDi SHEET'!$C$37,VLOOKUP($B62,PC_2,H$1+1,FALSE),1)</f>
        <v>1</v>
      </c>
      <c r="I62" t="str">
        <f t="shared" si="3"/>
        <v>001111</v>
      </c>
    </row>
    <row r="63" spans="1:9">
      <c r="B63">
        <v>8</v>
      </c>
      <c r="C63" s="1" t="str">
        <f>MID('CiDi SHEET'!$C$37,VLOOKUP($B63,PC_2,C$1+1,FALSE),1)</f>
        <v>0</v>
      </c>
      <c r="D63" s="1" t="str">
        <f>MID('CiDi SHEET'!$C$37,VLOOKUP($B63,PC_2,D$1+1,FALSE),1)</f>
        <v>0</v>
      </c>
      <c r="E63" s="1" t="str">
        <f>MID('CiDi SHEET'!$C$37,VLOOKUP($B63,PC_2,E$1+1,FALSE),1)</f>
        <v>0</v>
      </c>
      <c r="F63" s="1" t="str">
        <f>MID('CiDi SHEET'!$C$37,VLOOKUP($B63,PC_2,F$1+1,FALSE),1)</f>
        <v>0</v>
      </c>
      <c r="G63" s="1" t="str">
        <f>MID('CiDi SHEET'!$C$37,VLOOKUP($B63,PC_2,G$1+1,FALSE),1)</f>
        <v>0</v>
      </c>
      <c r="H63" s="1" t="str">
        <f>MID('CiDi SHEET'!$C$37,VLOOKUP($B63,PC_2,H$1+1,FALSE),1)</f>
        <v>0</v>
      </c>
      <c r="I63" t="str">
        <f t="shared" si="3"/>
        <v>000000</v>
      </c>
    </row>
    <row r="64" spans="1:9">
      <c r="A64" t="s">
        <v>132</v>
      </c>
      <c r="B64" t="str">
        <f>CONCATENATE(I56,I57,I58,I59,I60,I61,I62,I63)</f>
        <v>011100001000101011010010110111011011001111000000</v>
      </c>
    </row>
    <row r="65" spans="1:9">
      <c r="A65" t="s">
        <v>133</v>
      </c>
      <c r="B65">
        <v>1</v>
      </c>
      <c r="C65" s="1" t="str">
        <f>MID('CiDi SHEET'!$C$38,VLOOKUP($B65,PC_2,C$1+1,FALSE),1)</f>
        <v>0</v>
      </c>
      <c r="D65" s="1" t="str">
        <f>MID('CiDi SHEET'!$C$38,VLOOKUP($B65,PC_2,D$1+1,FALSE),1)</f>
        <v>0</v>
      </c>
      <c r="E65" s="1" t="str">
        <f>MID('CiDi SHEET'!$C$38,VLOOKUP($B65,PC_2,E$1+1,FALSE),1)</f>
        <v>1</v>
      </c>
      <c r="F65" s="1" t="str">
        <f>MID('CiDi SHEET'!$C$38,VLOOKUP($B65,PC_2,F$1+1,FALSE),1)</f>
        <v>1</v>
      </c>
      <c r="G65" s="1" t="str">
        <f>MID('CiDi SHEET'!$C$38,VLOOKUP($B65,PC_2,G$1+1,FALSE),1)</f>
        <v>0</v>
      </c>
      <c r="H65" s="1" t="str">
        <f>MID('CiDi SHEET'!$C$38,VLOOKUP($B65,PC_2,H$1+1,FALSE),1)</f>
        <v>1</v>
      </c>
      <c r="I65" t="str">
        <f t="shared" si="3"/>
        <v>001101</v>
      </c>
    </row>
    <row r="66" spans="1:9">
      <c r="B66">
        <v>2</v>
      </c>
      <c r="C66" s="1" t="str">
        <f>MID('CiDi SHEET'!$C$38,VLOOKUP($B66,PC_2,C$1+1,FALSE),1)</f>
        <v>0</v>
      </c>
      <c r="D66" s="1" t="str">
        <f>MID('CiDi SHEET'!$C$38,VLOOKUP($B66,PC_2,D$1+1,FALSE),1)</f>
        <v>0</v>
      </c>
      <c r="E66" s="1" t="str">
        <f>MID('CiDi SHEET'!$C$38,VLOOKUP($B66,PC_2,E$1+1,FALSE),1)</f>
        <v>1</v>
      </c>
      <c r="F66" s="1" t="str">
        <f>MID('CiDi SHEET'!$C$38,VLOOKUP($B66,PC_2,F$1+1,FALSE),1)</f>
        <v>1</v>
      </c>
      <c r="G66" s="1" t="str">
        <f>MID('CiDi SHEET'!$C$38,VLOOKUP($B66,PC_2,G$1+1,FALSE),1)</f>
        <v>1</v>
      </c>
      <c r="H66" s="1" t="str">
        <f>MID('CiDi SHEET'!$C$38,VLOOKUP($B66,PC_2,H$1+1,FALSE),1)</f>
        <v>1</v>
      </c>
      <c r="I66" t="str">
        <f t="shared" si="3"/>
        <v>001111</v>
      </c>
    </row>
    <row r="67" spans="1:9">
      <c r="B67">
        <v>3</v>
      </c>
      <c r="C67" s="1" t="str">
        <f>MID('CiDi SHEET'!$C$38,VLOOKUP($B67,PC_2,C$1+1,FALSE),1)</f>
        <v>1</v>
      </c>
      <c r="D67" s="1" t="str">
        <f>MID('CiDi SHEET'!$C$38,VLOOKUP($B67,PC_2,D$1+1,FALSE),1)</f>
        <v>0</v>
      </c>
      <c r="E67" s="1" t="str">
        <f>MID('CiDi SHEET'!$C$38,VLOOKUP($B67,PC_2,E$1+1,FALSE),1)</f>
        <v>0</v>
      </c>
      <c r="F67" s="1" t="str">
        <f>MID('CiDi SHEET'!$C$38,VLOOKUP($B67,PC_2,F$1+1,FALSE),1)</f>
        <v>0</v>
      </c>
      <c r="G67" s="1" t="str">
        <f>MID('CiDi SHEET'!$C$38,VLOOKUP($B67,PC_2,G$1+1,FALSE),1)</f>
        <v>0</v>
      </c>
      <c r="H67" s="1" t="str">
        <f>MID('CiDi SHEET'!$C$38,VLOOKUP($B67,PC_2,H$1+1,FALSE),1)</f>
        <v>0</v>
      </c>
      <c r="I67" t="str">
        <f t="shared" ref="I67:I72" si="17">CONCATENATE(C67,D67,E67,F67,G67,H67)</f>
        <v>100000</v>
      </c>
    </row>
    <row r="68" spans="1:9">
      <c r="B68">
        <v>4</v>
      </c>
      <c r="C68" s="1" t="str">
        <f>MID('CiDi SHEET'!$C$38,VLOOKUP($B68,PC_2,C$1+1,FALSE),1)</f>
        <v>1</v>
      </c>
      <c r="D68" s="1" t="str">
        <f>MID('CiDi SHEET'!$C$38,VLOOKUP($B68,PC_2,D$1+1,FALSE),1)</f>
        <v>0</v>
      </c>
      <c r="E68" s="1" t="str">
        <f>MID('CiDi SHEET'!$C$38,VLOOKUP($B68,PC_2,E$1+1,FALSE),1)</f>
        <v>0</v>
      </c>
      <c r="F68" s="1" t="str">
        <f>MID('CiDi SHEET'!$C$38,VLOOKUP($B68,PC_2,F$1+1,FALSE),1)</f>
        <v>0</v>
      </c>
      <c r="G68" s="1" t="str">
        <f>MID('CiDi SHEET'!$C$38,VLOOKUP($B68,PC_2,G$1+1,FALSE),1)</f>
        <v>1</v>
      </c>
      <c r="H68" s="1" t="str">
        <f>MID('CiDi SHEET'!$C$38,VLOOKUP($B68,PC_2,H$1+1,FALSE),1)</f>
        <v>0</v>
      </c>
      <c r="I68" t="str">
        <f t="shared" si="17"/>
        <v>100010</v>
      </c>
    </row>
    <row r="69" spans="1:9">
      <c r="B69">
        <v>5</v>
      </c>
      <c r="C69" s="1" t="str">
        <f>MID('CiDi SHEET'!$C$38,VLOOKUP($B69,PC_2,C$1+1,FALSE),1)</f>
        <v>1</v>
      </c>
      <c r="D69" s="1" t="str">
        <f>MID('CiDi SHEET'!$C$38,VLOOKUP($B69,PC_2,D$1+1,FALSE),1)</f>
        <v>1</v>
      </c>
      <c r="E69" s="1" t="str">
        <f>MID('CiDi SHEET'!$C$38,VLOOKUP($B69,PC_2,E$1+1,FALSE),1)</f>
        <v>1</v>
      </c>
      <c r="F69" s="1" t="str">
        <f>MID('CiDi SHEET'!$C$38,VLOOKUP($B69,PC_2,F$1+1,FALSE),1)</f>
        <v>1</v>
      </c>
      <c r="G69" s="1" t="str">
        <f>MID('CiDi SHEET'!$C$38,VLOOKUP($B69,PC_2,G$1+1,FALSE),1)</f>
        <v>0</v>
      </c>
      <c r="H69" s="1" t="str">
        <f>MID('CiDi SHEET'!$C$38,VLOOKUP($B69,PC_2,H$1+1,FALSE),1)</f>
        <v>0</v>
      </c>
      <c r="I69" t="str">
        <f t="shared" si="17"/>
        <v>111100</v>
      </c>
    </row>
    <row r="70" spans="1:9">
      <c r="B70">
        <v>6</v>
      </c>
      <c r="C70" s="1" t="str">
        <f>MID('CiDi SHEET'!$C$38,VLOOKUP($B70,PC_2,C$1+1,FALSE),1)</f>
        <v>0</v>
      </c>
      <c r="D70" s="1" t="str">
        <f>MID('CiDi SHEET'!$C$38,VLOOKUP($B70,PC_2,D$1+1,FALSE),1)</f>
        <v>0</v>
      </c>
      <c r="E70" s="1" t="str">
        <f>MID('CiDi SHEET'!$C$38,VLOOKUP($B70,PC_2,E$1+1,FALSE),1)</f>
        <v>1</v>
      </c>
      <c r="F70" s="1" t="str">
        <f>MID('CiDi SHEET'!$C$38,VLOOKUP($B70,PC_2,F$1+1,FALSE),1)</f>
        <v>1</v>
      </c>
      <c r="G70" s="1" t="str">
        <f>MID('CiDi SHEET'!$C$38,VLOOKUP($B70,PC_2,G$1+1,FALSE),1)</f>
        <v>0</v>
      </c>
      <c r="H70" s="1" t="str">
        <f>MID('CiDi SHEET'!$C$38,VLOOKUP($B70,PC_2,H$1+1,FALSE),1)</f>
        <v>0</v>
      </c>
      <c r="I70" t="str">
        <f t="shared" si="17"/>
        <v>001100</v>
      </c>
    </row>
    <row r="71" spans="1:9">
      <c r="B71">
        <v>7</v>
      </c>
      <c r="C71" s="1" t="str">
        <f>MID('CiDi SHEET'!$C$38,VLOOKUP($B71,PC_2,C$1+1,FALSE),1)</f>
        <v>0</v>
      </c>
      <c r="D71" s="1" t="str">
        <f>MID('CiDi SHEET'!$C$38,VLOOKUP($B71,PC_2,D$1+1,FALSE),1)</f>
        <v>1</v>
      </c>
      <c r="E71" s="1" t="str">
        <f>MID('CiDi SHEET'!$C$38,VLOOKUP($B71,PC_2,E$1+1,FALSE),1)</f>
        <v>1</v>
      </c>
      <c r="F71" s="1" t="str">
        <f>MID('CiDi SHEET'!$C$38,VLOOKUP($B71,PC_2,F$1+1,FALSE),1)</f>
        <v>0</v>
      </c>
      <c r="G71" s="1" t="str">
        <f>MID('CiDi SHEET'!$C$38,VLOOKUP($B71,PC_2,G$1+1,FALSE),1)</f>
        <v>0</v>
      </c>
      <c r="H71" s="1" t="str">
        <f>MID('CiDi SHEET'!$C$38,VLOOKUP($B71,PC_2,H$1+1,FALSE),1)</f>
        <v>1</v>
      </c>
      <c r="I71" t="str">
        <f t="shared" si="17"/>
        <v>011001</v>
      </c>
    </row>
    <row r="72" spans="1:9">
      <c r="B72">
        <v>8</v>
      </c>
      <c r="C72" s="1" t="str">
        <f>MID('CiDi SHEET'!$C$38,VLOOKUP($B72,PC_2,C$1+1,FALSE),1)</f>
        <v>1</v>
      </c>
      <c r="D72" s="1" t="str">
        <f>MID('CiDi SHEET'!$C$38,VLOOKUP($B72,PC_2,D$1+1,FALSE),1)</f>
        <v>0</v>
      </c>
      <c r="E72" s="1" t="str">
        <f>MID('CiDi SHEET'!$C$38,VLOOKUP($B72,PC_2,E$1+1,FALSE),1)</f>
        <v>1</v>
      </c>
      <c r="F72" s="1" t="str">
        <f>MID('CiDi SHEET'!$C$38,VLOOKUP($B72,PC_2,F$1+1,FALSE),1)</f>
        <v>1</v>
      </c>
      <c r="G72" s="1" t="str">
        <f>MID('CiDi SHEET'!$C$38,VLOOKUP($B72,PC_2,G$1+1,FALSE),1)</f>
        <v>0</v>
      </c>
      <c r="H72" s="1" t="str">
        <f>MID('CiDi SHEET'!$C$38,VLOOKUP($B72,PC_2,H$1+1,FALSE),1)</f>
        <v>1</v>
      </c>
      <c r="I72" t="str">
        <f t="shared" si="17"/>
        <v>101101</v>
      </c>
    </row>
    <row r="73" spans="1:9">
      <c r="A73" t="s">
        <v>133</v>
      </c>
      <c r="B73" t="str">
        <f>CONCATENATE(I65,I66,I67,I68,I69,I70,I71,I72)</f>
        <v>001101001111100000100010111100001100011001101101</v>
      </c>
    </row>
    <row r="74" spans="1:9">
      <c r="A74" t="s">
        <v>134</v>
      </c>
      <c r="B74">
        <v>1</v>
      </c>
      <c r="C74" s="1" t="str">
        <f>MID('CiDi SHEET'!$C$39,VLOOKUP($B74,PC_2,C$1+1,FALSE),1)</f>
        <v>1</v>
      </c>
      <c r="D74" s="1" t="str">
        <f>MID('CiDi SHEET'!$C$39,VLOOKUP($B74,PC_2,D$1+1,FALSE),1)</f>
        <v>0</v>
      </c>
      <c r="E74" s="1" t="str">
        <f>MID('CiDi SHEET'!$C$39,VLOOKUP($B74,PC_2,E$1+1,FALSE),1)</f>
        <v>0</v>
      </c>
      <c r="F74" s="1" t="str">
        <f>MID('CiDi SHEET'!$C$39,VLOOKUP($B74,PC_2,F$1+1,FALSE),1)</f>
        <v>0</v>
      </c>
      <c r="G74" s="1" t="str">
        <f>MID('CiDi SHEET'!$C$39,VLOOKUP($B74,PC_2,G$1+1,FALSE),1)</f>
        <v>0</v>
      </c>
      <c r="H74" s="1" t="str">
        <f>MID('CiDi SHEET'!$C$39,VLOOKUP($B74,PC_2,H$1+1,FALSE),1)</f>
        <v>1</v>
      </c>
      <c r="I74" t="str">
        <f t="shared" ref="I74:I81" si="18">CONCATENATE(C74,D74,E74,F74,G74,H74)</f>
        <v>100001</v>
      </c>
    </row>
    <row r="75" spans="1:9">
      <c r="B75">
        <v>2</v>
      </c>
      <c r="C75" s="1" t="str">
        <f>MID('CiDi SHEET'!$C$39,VLOOKUP($B75,PC_2,C$1+1,FALSE),1)</f>
        <v>0</v>
      </c>
      <c r="D75" s="1" t="str">
        <f>MID('CiDi SHEET'!$C$39,VLOOKUP($B75,PC_2,D$1+1,FALSE),1)</f>
        <v>0</v>
      </c>
      <c r="E75" s="1" t="str">
        <f>MID('CiDi SHEET'!$C$39,VLOOKUP($B75,PC_2,E$1+1,FALSE),1)</f>
        <v>1</v>
      </c>
      <c r="F75" s="1" t="str">
        <f>MID('CiDi SHEET'!$C$39,VLOOKUP($B75,PC_2,F$1+1,FALSE),1)</f>
        <v>0</v>
      </c>
      <c r="G75" s="1" t="str">
        <f>MID('CiDi SHEET'!$C$39,VLOOKUP($B75,PC_2,G$1+1,FALSE),1)</f>
        <v>1</v>
      </c>
      <c r="H75" s="1" t="str">
        <f>MID('CiDi SHEET'!$C$39,VLOOKUP($B75,PC_2,H$1+1,FALSE),1)</f>
        <v>1</v>
      </c>
      <c r="I75" t="str">
        <f t="shared" si="18"/>
        <v>001011</v>
      </c>
    </row>
    <row r="76" spans="1:9">
      <c r="B76">
        <v>3</v>
      </c>
      <c r="C76" s="1" t="str">
        <f>MID('CiDi SHEET'!$C$39,VLOOKUP($B76,PC_2,C$1+1,FALSE),1)</f>
        <v>1</v>
      </c>
      <c r="D76" s="1" t="str">
        <f>MID('CiDi SHEET'!$C$39,VLOOKUP($B76,PC_2,D$1+1,FALSE),1)</f>
        <v>0</v>
      </c>
      <c r="E76" s="1" t="str">
        <f>MID('CiDi SHEET'!$C$39,VLOOKUP($B76,PC_2,E$1+1,FALSE),1)</f>
        <v>1</v>
      </c>
      <c r="F76" s="1" t="str">
        <f>MID('CiDi SHEET'!$C$39,VLOOKUP($B76,PC_2,F$1+1,FALSE),1)</f>
        <v>1</v>
      </c>
      <c r="G76" s="1" t="str">
        <f>MID('CiDi SHEET'!$C$39,VLOOKUP($B76,PC_2,G$1+1,FALSE),1)</f>
        <v>0</v>
      </c>
      <c r="H76" s="1" t="str">
        <f>MID('CiDi SHEET'!$C$39,VLOOKUP($B76,PC_2,H$1+1,FALSE),1)</f>
        <v>1</v>
      </c>
      <c r="I76" t="str">
        <f t="shared" si="18"/>
        <v>101101</v>
      </c>
    </row>
    <row r="77" spans="1:9">
      <c r="B77">
        <v>4</v>
      </c>
      <c r="C77" s="1" t="str">
        <f>MID('CiDi SHEET'!$C$39,VLOOKUP($B77,PC_2,C$1+1,FALSE),1)</f>
        <v>0</v>
      </c>
      <c r="D77" s="1" t="str">
        <f>MID('CiDi SHEET'!$C$39,VLOOKUP($B77,PC_2,D$1+1,FALSE),1)</f>
        <v>0</v>
      </c>
      <c r="E77" s="1" t="str">
        <f>MID('CiDi SHEET'!$C$39,VLOOKUP($B77,PC_2,E$1+1,FALSE),1)</f>
        <v>0</v>
      </c>
      <c r="F77" s="1" t="str">
        <f>MID('CiDi SHEET'!$C$39,VLOOKUP($B77,PC_2,F$1+1,FALSE),1)</f>
        <v>1</v>
      </c>
      <c r="G77" s="1" t="str">
        <f>MID('CiDi SHEET'!$C$39,VLOOKUP($B77,PC_2,G$1+1,FALSE),1)</f>
        <v>0</v>
      </c>
      <c r="H77" s="1" t="str">
        <f>MID('CiDi SHEET'!$C$39,VLOOKUP($B77,PC_2,H$1+1,FALSE),1)</f>
        <v>0</v>
      </c>
      <c r="I77" t="str">
        <f t="shared" si="18"/>
        <v>000100</v>
      </c>
    </row>
    <row r="78" spans="1:9">
      <c r="B78">
        <v>5</v>
      </c>
      <c r="C78" s="1" t="str">
        <f>MID('CiDi SHEET'!$C$39,VLOOKUP($B78,PC_2,C$1+1,FALSE),1)</f>
        <v>0</v>
      </c>
      <c r="D78" s="1" t="str">
        <f>MID('CiDi SHEET'!$C$39,VLOOKUP($B78,PC_2,D$1+1,FALSE),1)</f>
        <v>1</v>
      </c>
      <c r="E78" s="1" t="str">
        <f>MID('CiDi SHEET'!$C$39,VLOOKUP($B78,PC_2,E$1+1,FALSE),1)</f>
        <v>1</v>
      </c>
      <c r="F78" s="1" t="str">
        <f>MID('CiDi SHEET'!$C$39,VLOOKUP($B78,PC_2,F$1+1,FALSE),1)</f>
        <v>1</v>
      </c>
      <c r="G78" s="1" t="str">
        <f>MID('CiDi SHEET'!$C$39,VLOOKUP($B78,PC_2,G$1+1,FALSE),1)</f>
        <v>0</v>
      </c>
      <c r="H78" s="1" t="str">
        <f>MID('CiDi SHEET'!$C$39,VLOOKUP($B78,PC_2,H$1+1,FALSE),1)</f>
        <v>0</v>
      </c>
      <c r="I78" t="str">
        <f t="shared" si="18"/>
        <v>011100</v>
      </c>
    </row>
    <row r="79" spans="1:9">
      <c r="B79">
        <v>6</v>
      </c>
      <c r="C79" s="1" t="str">
        <f>MID('CiDi SHEET'!$C$39,VLOOKUP($B79,PC_2,C$1+1,FALSE),1)</f>
        <v>1</v>
      </c>
      <c r="D79" s="1" t="str">
        <f>MID('CiDi SHEET'!$C$39,VLOOKUP($B79,PC_2,D$1+1,FALSE),1)</f>
        <v>1</v>
      </c>
      <c r="E79" s="1" t="str">
        <f>MID('CiDi SHEET'!$C$39,VLOOKUP($B79,PC_2,E$1+1,FALSE),1)</f>
        <v>1</v>
      </c>
      <c r="F79" s="1" t="str">
        <f>MID('CiDi SHEET'!$C$39,VLOOKUP($B79,PC_2,F$1+1,FALSE),1)</f>
        <v>1</v>
      </c>
      <c r="G79" s="1" t="str">
        <f>MID('CiDi SHEET'!$C$39,VLOOKUP($B79,PC_2,G$1+1,FALSE),1)</f>
        <v>0</v>
      </c>
      <c r="H79" s="1" t="str">
        <f>MID('CiDi SHEET'!$C$39,VLOOKUP($B79,PC_2,H$1+1,FALSE),1)</f>
        <v>1</v>
      </c>
      <c r="I79" t="str">
        <f t="shared" si="18"/>
        <v>111101</v>
      </c>
    </row>
    <row r="80" spans="1:9">
      <c r="B80">
        <v>7</v>
      </c>
      <c r="C80" s="1" t="str">
        <f>MID('CiDi SHEET'!$C$39,VLOOKUP($B80,PC_2,C$1+1,FALSE),1)</f>
        <v>1</v>
      </c>
      <c r="D80" s="1" t="str">
        <f>MID('CiDi SHEET'!$C$39,VLOOKUP($B80,PC_2,D$1+1,FALSE),1)</f>
        <v>1</v>
      </c>
      <c r="E80" s="1" t="str">
        <f>MID('CiDi SHEET'!$C$39,VLOOKUP($B80,PC_2,E$1+1,FALSE),1)</f>
        <v>0</v>
      </c>
      <c r="F80" s="1" t="str">
        <f>MID('CiDi SHEET'!$C$39,VLOOKUP($B80,PC_2,F$1+1,FALSE),1)</f>
        <v>0</v>
      </c>
      <c r="G80" s="1" t="str">
        <f>MID('CiDi SHEET'!$C$39,VLOOKUP($B80,PC_2,G$1+1,FALSE),1)</f>
        <v>1</v>
      </c>
      <c r="H80" s="1" t="str">
        <f>MID('CiDi SHEET'!$C$39,VLOOKUP($B80,PC_2,H$1+1,FALSE),1)</f>
        <v>1</v>
      </c>
      <c r="I80" t="str">
        <f t="shared" si="18"/>
        <v>110011</v>
      </c>
    </row>
    <row r="81" spans="1:9">
      <c r="B81">
        <v>8</v>
      </c>
      <c r="C81" s="1" t="str">
        <f>MID('CiDi SHEET'!$C$39,VLOOKUP($B81,PC_2,C$1+1,FALSE),1)</f>
        <v>0</v>
      </c>
      <c r="D81" s="1" t="str">
        <f>MID('CiDi SHEET'!$C$39,VLOOKUP($B81,PC_2,D$1+1,FALSE),1)</f>
        <v>0</v>
      </c>
      <c r="E81" s="1" t="str">
        <f>MID('CiDi SHEET'!$C$39,VLOOKUP($B81,PC_2,E$1+1,FALSE),1)</f>
        <v>1</v>
      </c>
      <c r="F81" s="1" t="str">
        <f>MID('CiDi SHEET'!$C$39,VLOOKUP($B81,PC_2,F$1+1,FALSE),1)</f>
        <v>1</v>
      </c>
      <c r="G81" s="1" t="str">
        <f>MID('CiDi SHEET'!$C$39,VLOOKUP($B81,PC_2,G$1+1,FALSE),1)</f>
        <v>0</v>
      </c>
      <c r="H81" s="1" t="str">
        <f>MID('CiDi SHEET'!$C$39,VLOOKUP($B81,PC_2,H$1+1,FALSE),1)</f>
        <v>0</v>
      </c>
      <c r="I81" t="str">
        <f t="shared" si="18"/>
        <v>001100</v>
      </c>
    </row>
    <row r="82" spans="1:9">
      <c r="A82" t="s">
        <v>134</v>
      </c>
      <c r="B82" t="str">
        <f>CONCATENATE(I74,I75,I76,I77,I78,I79,I80,I81)</f>
        <v>100001001011101101000100011100111101110011001100</v>
      </c>
    </row>
    <row r="83" spans="1:9">
      <c r="A83" t="s">
        <v>135</v>
      </c>
      <c r="B83">
        <v>1</v>
      </c>
      <c r="C83" s="1" t="str">
        <f>MID('CiDi SHEET'!$C$40,VLOOKUP($B83,PC_2,C$1+1,FALSE),1)</f>
        <v>0</v>
      </c>
      <c r="D83" s="1" t="str">
        <f>MID('CiDi SHEET'!$C$40,VLOOKUP($B83,PC_2,D$1+1,FALSE),1)</f>
        <v>0</v>
      </c>
      <c r="E83" s="1" t="str">
        <f>MID('CiDi SHEET'!$C$40,VLOOKUP($B83,PC_2,E$1+1,FALSE),1)</f>
        <v>0</v>
      </c>
      <c r="F83" s="1" t="str">
        <f>MID('CiDi SHEET'!$C$40,VLOOKUP($B83,PC_2,F$1+1,FALSE),1)</f>
        <v>0</v>
      </c>
      <c r="G83" s="1" t="str">
        <f>MID('CiDi SHEET'!$C$40,VLOOKUP($B83,PC_2,G$1+1,FALSE),1)</f>
        <v>0</v>
      </c>
      <c r="H83" s="1" t="str">
        <f>MID('CiDi SHEET'!$C$40,VLOOKUP($B83,PC_2,H$1+1,FALSE),1)</f>
        <v>0</v>
      </c>
      <c r="I83" t="str">
        <f t="shared" ref="I83:I90" si="19">CONCATENATE(C83,D83,E83,F83,G83,H83)</f>
        <v>000000</v>
      </c>
    </row>
    <row r="84" spans="1:9">
      <c r="B84">
        <v>2</v>
      </c>
      <c r="C84" s="1" t="str">
        <f>MID('CiDi SHEET'!$C$40,VLOOKUP($B84,PC_2,C$1+1,FALSE),1)</f>
        <v>1</v>
      </c>
      <c r="D84" s="1" t="str">
        <f>MID('CiDi SHEET'!$C$40,VLOOKUP($B84,PC_2,D$1+1,FALSE),1)</f>
        <v>0</v>
      </c>
      <c r="E84" s="1" t="str">
        <f>MID('CiDi SHEET'!$C$40,VLOOKUP($B84,PC_2,E$1+1,FALSE),1)</f>
        <v>0</v>
      </c>
      <c r="F84" s="1" t="str">
        <f>MID('CiDi SHEET'!$C$40,VLOOKUP($B84,PC_2,F$1+1,FALSE),1)</f>
        <v>1</v>
      </c>
      <c r="G84" s="1" t="str">
        <f>MID('CiDi SHEET'!$C$40,VLOOKUP($B84,PC_2,G$1+1,FALSE),1)</f>
        <v>1</v>
      </c>
      <c r="H84" s="1" t="str">
        <f>MID('CiDi SHEET'!$C$40,VLOOKUP($B84,PC_2,H$1+1,FALSE),1)</f>
        <v>1</v>
      </c>
      <c r="I84" t="str">
        <f t="shared" si="19"/>
        <v>100111</v>
      </c>
    </row>
    <row r="85" spans="1:9">
      <c r="B85">
        <v>3</v>
      </c>
      <c r="C85" s="1" t="str">
        <f>MID('CiDi SHEET'!$C$40,VLOOKUP($B85,PC_2,C$1+1,FALSE),1)</f>
        <v>0</v>
      </c>
      <c r="D85" s="1" t="str">
        <f>MID('CiDi SHEET'!$C$40,VLOOKUP($B85,PC_2,D$1+1,FALSE),1)</f>
        <v>1</v>
      </c>
      <c r="E85" s="1" t="str">
        <f>MID('CiDi SHEET'!$C$40,VLOOKUP($B85,PC_2,E$1+1,FALSE),1)</f>
        <v>1</v>
      </c>
      <c r="F85" s="1" t="str">
        <f>MID('CiDi SHEET'!$C$40,VLOOKUP($B85,PC_2,F$1+1,FALSE),1)</f>
        <v>0</v>
      </c>
      <c r="G85" s="1" t="str">
        <f>MID('CiDi SHEET'!$C$40,VLOOKUP($B85,PC_2,G$1+1,FALSE),1)</f>
        <v>0</v>
      </c>
      <c r="H85" s="1" t="str">
        <f>MID('CiDi SHEET'!$C$40,VLOOKUP($B85,PC_2,H$1+1,FALSE),1)</f>
        <v>1</v>
      </c>
      <c r="I85" t="str">
        <f t="shared" si="19"/>
        <v>011001</v>
      </c>
    </row>
    <row r="86" spans="1:9">
      <c r="B86">
        <v>4</v>
      </c>
      <c r="C86" s="1" t="str">
        <f>MID('CiDi SHEET'!$C$40,VLOOKUP($B86,PC_2,C$1+1,FALSE),1)</f>
        <v>0</v>
      </c>
      <c r="D86" s="1" t="str">
        <f>MID('CiDi SHEET'!$C$40,VLOOKUP($B86,PC_2,D$1+1,FALSE),1)</f>
        <v>1</v>
      </c>
      <c r="E86" s="1" t="str">
        <f>MID('CiDi SHEET'!$C$40,VLOOKUP($B86,PC_2,E$1+1,FALSE),1)</f>
        <v>0</v>
      </c>
      <c r="F86" s="1" t="str">
        <f>MID('CiDi SHEET'!$C$40,VLOOKUP($B86,PC_2,F$1+1,FALSE),1)</f>
        <v>1</v>
      </c>
      <c r="G86" s="1" t="str">
        <f>MID('CiDi SHEET'!$C$40,VLOOKUP($B86,PC_2,G$1+1,FALSE),1)</f>
        <v>1</v>
      </c>
      <c r="H86" s="1" t="str">
        <f>MID('CiDi SHEET'!$C$40,VLOOKUP($B86,PC_2,H$1+1,FALSE),1)</f>
        <v>1</v>
      </c>
      <c r="I86" t="str">
        <f t="shared" si="19"/>
        <v>010111</v>
      </c>
    </row>
    <row r="87" spans="1:9">
      <c r="B87">
        <v>5</v>
      </c>
      <c r="C87" s="1" t="str">
        <f>MID('CiDi SHEET'!$C$40,VLOOKUP($B87,PC_2,C$1+1,FALSE),1)</f>
        <v>0</v>
      </c>
      <c r="D87" s="1" t="str">
        <f>MID('CiDi SHEET'!$C$40,VLOOKUP($B87,PC_2,D$1+1,FALSE),1)</f>
        <v>0</v>
      </c>
      <c r="E87" s="1" t="str">
        <f>MID('CiDi SHEET'!$C$40,VLOOKUP($B87,PC_2,E$1+1,FALSE),1)</f>
        <v>0</v>
      </c>
      <c r="F87" s="1" t="str">
        <f>MID('CiDi SHEET'!$C$40,VLOOKUP($B87,PC_2,F$1+1,FALSE),1)</f>
        <v>0</v>
      </c>
      <c r="G87" s="1" t="str">
        <f>MID('CiDi SHEET'!$C$40,VLOOKUP($B87,PC_2,G$1+1,FALSE),1)</f>
        <v>1</v>
      </c>
      <c r="H87" s="1" t="str">
        <f>MID('CiDi SHEET'!$C$40,VLOOKUP($B87,PC_2,H$1+1,FALSE),1)</f>
        <v>0</v>
      </c>
      <c r="I87" t="str">
        <f t="shared" si="19"/>
        <v>000010</v>
      </c>
    </row>
    <row r="88" spans="1:9">
      <c r="B88">
        <v>6</v>
      </c>
      <c r="C88" s="1" t="str">
        <f>MID('CiDi SHEET'!$C$40,VLOOKUP($B88,PC_2,C$1+1,FALSE),1)</f>
        <v>0</v>
      </c>
      <c r="D88" s="1" t="str">
        <f>MID('CiDi SHEET'!$C$40,VLOOKUP($B88,PC_2,D$1+1,FALSE),1)</f>
        <v>0</v>
      </c>
      <c r="E88" s="1" t="str">
        <f>MID('CiDi SHEET'!$C$40,VLOOKUP($B88,PC_2,E$1+1,FALSE),1)</f>
        <v>1</v>
      </c>
      <c r="F88" s="1" t="str">
        <f>MID('CiDi SHEET'!$C$40,VLOOKUP($B88,PC_2,F$1+1,FALSE),1)</f>
        <v>0</v>
      </c>
      <c r="G88" s="1" t="str">
        <f>MID('CiDi SHEET'!$C$40,VLOOKUP($B88,PC_2,G$1+1,FALSE),1)</f>
        <v>1</v>
      </c>
      <c r="H88" s="1" t="str">
        <f>MID('CiDi SHEET'!$C$40,VLOOKUP($B88,PC_2,H$1+1,FALSE),1)</f>
        <v>1</v>
      </c>
      <c r="I88" t="str">
        <f t="shared" si="19"/>
        <v>001011</v>
      </c>
    </row>
    <row r="89" spans="1:9">
      <c r="B89">
        <v>7</v>
      </c>
      <c r="C89" s="1" t="str">
        <f>MID('CiDi SHEET'!$C$40,VLOOKUP($B89,PC_2,C$1+1,FALSE),1)</f>
        <v>0</v>
      </c>
      <c r="D89" s="1" t="str">
        <f>MID('CiDi SHEET'!$C$40,VLOOKUP($B89,PC_2,D$1+1,FALSE),1)</f>
        <v>1</v>
      </c>
      <c r="E89" s="1" t="str">
        <f>MID('CiDi SHEET'!$C$40,VLOOKUP($B89,PC_2,E$1+1,FALSE),1)</f>
        <v>0</v>
      </c>
      <c r="F89" s="1" t="str">
        <f>MID('CiDi SHEET'!$C$40,VLOOKUP($B89,PC_2,F$1+1,FALSE),1)</f>
        <v>1</v>
      </c>
      <c r="G89" s="1" t="str">
        <f>MID('CiDi SHEET'!$C$40,VLOOKUP($B89,PC_2,G$1+1,FALSE),1)</f>
        <v>1</v>
      </c>
      <c r="H89" s="1" t="str">
        <f>MID('CiDi SHEET'!$C$40,VLOOKUP($B89,PC_2,H$1+1,FALSE),1)</f>
        <v>0</v>
      </c>
      <c r="I89" t="str">
        <f t="shared" si="19"/>
        <v>010110</v>
      </c>
    </row>
    <row r="90" spans="1:9">
      <c r="B90">
        <v>8</v>
      </c>
      <c r="C90" s="1" t="str">
        <f>MID('CiDi SHEET'!$C$40,VLOOKUP($B90,PC_2,C$1+1,FALSE),1)</f>
        <v>1</v>
      </c>
      <c r="D90" s="1" t="str">
        <f>MID('CiDi SHEET'!$C$40,VLOOKUP($B90,PC_2,D$1+1,FALSE),1)</f>
        <v>1</v>
      </c>
      <c r="E90" s="1" t="str">
        <f>MID('CiDi SHEET'!$C$40,VLOOKUP($B90,PC_2,E$1+1,FALSE),1)</f>
        <v>1</v>
      </c>
      <c r="F90" s="1" t="str">
        <f>MID('CiDi SHEET'!$C$40,VLOOKUP($B90,PC_2,F$1+1,FALSE),1)</f>
        <v>1</v>
      </c>
      <c r="G90" s="1" t="str">
        <f>MID('CiDi SHEET'!$C$40,VLOOKUP($B90,PC_2,G$1+1,FALSE),1)</f>
        <v>1</v>
      </c>
      <c r="H90" s="1" t="str">
        <f>MID('CiDi SHEET'!$C$40,VLOOKUP($B90,PC_2,H$1+1,FALSE),1)</f>
        <v>1</v>
      </c>
      <c r="I90" t="str">
        <f t="shared" si="19"/>
        <v>111111</v>
      </c>
    </row>
    <row r="91" spans="1:9">
      <c r="A91" t="s">
        <v>135</v>
      </c>
      <c r="B91" t="str">
        <f>CONCATENATE(I83,I84,I85,I86,I87,I88,I89,I90)</f>
        <v>000000100111011001010111000010001011010110111111</v>
      </c>
    </row>
    <row r="92" spans="1:9">
      <c r="A92" t="s">
        <v>136</v>
      </c>
      <c r="B92">
        <v>1</v>
      </c>
      <c r="C92" s="1" t="str">
        <f>MID('CiDi SHEET'!$C$41,VLOOKUP($B92,PC_2,C$1+1,FALSE),1)</f>
        <v>0</v>
      </c>
      <c r="D92" s="1" t="str">
        <f>MID('CiDi SHEET'!$C$41,VLOOKUP($B92,PC_2,D$1+1,FALSE),1)</f>
        <v>1</v>
      </c>
      <c r="E92" s="1" t="str">
        <f>MID('CiDi SHEET'!$C$41,VLOOKUP($B92,PC_2,E$1+1,FALSE),1)</f>
        <v>1</v>
      </c>
      <c r="F92" s="1" t="str">
        <f>MID('CiDi SHEET'!$C$41,VLOOKUP($B92,PC_2,F$1+1,FALSE),1)</f>
        <v>0</v>
      </c>
      <c r="G92" s="1" t="str">
        <f>MID('CiDi SHEET'!$C$41,VLOOKUP($B92,PC_2,G$1+1,FALSE),1)</f>
        <v>1</v>
      </c>
      <c r="H92" s="1" t="str">
        <f>MID('CiDi SHEET'!$C$41,VLOOKUP($B92,PC_2,H$1+1,FALSE),1)</f>
        <v>1</v>
      </c>
      <c r="I92" t="str">
        <f t="shared" ref="I92:I99" si="20">CONCATENATE(C92,D92,E92,F92,G92,H92)</f>
        <v>011011</v>
      </c>
    </row>
    <row r="93" spans="1:9">
      <c r="B93">
        <v>2</v>
      </c>
      <c r="C93" s="1" t="str">
        <f>MID('CiDi SHEET'!$C$41,VLOOKUP($B93,PC_2,C$1+1,FALSE),1)</f>
        <v>0</v>
      </c>
      <c r="D93" s="1" t="str">
        <f>MID('CiDi SHEET'!$C$41,VLOOKUP($B93,PC_2,D$1+1,FALSE),1)</f>
        <v>1</v>
      </c>
      <c r="E93" s="1" t="str">
        <f>MID('CiDi SHEET'!$C$41,VLOOKUP($B93,PC_2,E$1+1,FALSE),1)</f>
        <v>0</v>
      </c>
      <c r="F93" s="1" t="str">
        <f>MID('CiDi SHEET'!$C$41,VLOOKUP($B93,PC_2,F$1+1,FALSE),1)</f>
        <v>1</v>
      </c>
      <c r="G93" s="1" t="str">
        <f>MID('CiDi SHEET'!$C$41,VLOOKUP($B93,PC_2,G$1+1,FALSE),1)</f>
        <v>0</v>
      </c>
      <c r="H93" s="1" t="str">
        <f>MID('CiDi SHEET'!$C$41,VLOOKUP($B93,PC_2,H$1+1,FALSE),1)</f>
        <v>1</v>
      </c>
      <c r="I93" t="str">
        <f t="shared" si="20"/>
        <v>010101</v>
      </c>
    </row>
    <row r="94" spans="1:9">
      <c r="B94">
        <v>3</v>
      </c>
      <c r="C94" s="1" t="str">
        <f>MID('CiDi SHEET'!$C$41,VLOOKUP($B94,PC_2,C$1+1,FALSE),1)</f>
        <v>0</v>
      </c>
      <c r="D94" s="1" t="str">
        <f>MID('CiDi SHEET'!$C$41,VLOOKUP($B94,PC_2,D$1+1,FALSE),1)</f>
        <v>1</v>
      </c>
      <c r="E94" s="1" t="str">
        <f>MID('CiDi SHEET'!$C$41,VLOOKUP($B94,PC_2,E$1+1,FALSE),1)</f>
        <v>0</v>
      </c>
      <c r="F94" s="1" t="str">
        <f>MID('CiDi SHEET'!$C$41,VLOOKUP($B94,PC_2,F$1+1,FALSE),1)</f>
        <v>1</v>
      </c>
      <c r="G94" s="1" t="str">
        <f>MID('CiDi SHEET'!$C$41,VLOOKUP($B94,PC_2,G$1+1,FALSE),1)</f>
        <v>0</v>
      </c>
      <c r="H94" s="1" t="str">
        <f>MID('CiDi SHEET'!$C$41,VLOOKUP($B94,PC_2,H$1+1,FALSE),1)</f>
        <v>1</v>
      </c>
      <c r="I94" t="str">
        <f t="shared" si="20"/>
        <v>010101</v>
      </c>
    </row>
    <row r="95" spans="1:9">
      <c r="B95">
        <v>4</v>
      </c>
      <c r="C95" s="1" t="str">
        <f>MID('CiDi SHEET'!$C$41,VLOOKUP($B95,PC_2,C$1+1,FALSE),1)</f>
        <v>1</v>
      </c>
      <c r="D95" s="1" t="str">
        <f>MID('CiDi SHEET'!$C$41,VLOOKUP($B95,PC_2,D$1+1,FALSE),1)</f>
        <v>0</v>
      </c>
      <c r="E95" s="1" t="str">
        <f>MID('CiDi SHEET'!$C$41,VLOOKUP($B95,PC_2,E$1+1,FALSE),1)</f>
        <v>0</v>
      </c>
      <c r="F95" s="1" t="str">
        <f>MID('CiDi SHEET'!$C$41,VLOOKUP($B95,PC_2,F$1+1,FALSE),1)</f>
        <v>0</v>
      </c>
      <c r="G95" s="1" t="str">
        <f>MID('CiDi SHEET'!$C$41,VLOOKUP($B95,PC_2,G$1+1,FALSE),1)</f>
        <v>0</v>
      </c>
      <c r="H95" s="1" t="str">
        <f>MID('CiDi SHEET'!$C$41,VLOOKUP($B95,PC_2,H$1+1,FALSE),1)</f>
        <v>0</v>
      </c>
      <c r="I95" t="str">
        <f t="shared" si="20"/>
        <v>100000</v>
      </c>
    </row>
    <row r="96" spans="1:9">
      <c r="B96">
        <v>5</v>
      </c>
      <c r="C96" s="1" t="str">
        <f>MID('CiDi SHEET'!$C$41,VLOOKUP($B96,PC_2,C$1+1,FALSE),1)</f>
        <v>1</v>
      </c>
      <c r="D96" s="1" t="str">
        <f>MID('CiDi SHEET'!$C$41,VLOOKUP($B96,PC_2,D$1+1,FALSE),1)</f>
        <v>0</v>
      </c>
      <c r="E96" s="1" t="str">
        <f>MID('CiDi SHEET'!$C$41,VLOOKUP($B96,PC_2,E$1+1,FALSE),1)</f>
        <v>1</v>
      </c>
      <c r="F96" s="1" t="str">
        <f>MID('CiDi SHEET'!$C$41,VLOOKUP($B96,PC_2,F$1+1,FALSE),1)</f>
        <v>0</v>
      </c>
      <c r="G96" s="1" t="str">
        <f>MID('CiDi SHEET'!$C$41,VLOOKUP($B96,PC_2,G$1+1,FALSE),1)</f>
        <v>1</v>
      </c>
      <c r="H96" s="1" t="str">
        <f>MID('CiDi SHEET'!$C$41,VLOOKUP($B96,PC_2,H$1+1,FALSE),1)</f>
        <v>1</v>
      </c>
      <c r="I96" t="str">
        <f t="shared" si="20"/>
        <v>101011</v>
      </c>
    </row>
    <row r="97" spans="1:9">
      <c r="B97">
        <v>6</v>
      </c>
      <c r="C97" s="1" t="str">
        <f>MID('CiDi SHEET'!$C$41,VLOOKUP($B97,PC_2,C$1+1,FALSE),1)</f>
        <v>1</v>
      </c>
      <c r="D97" s="1" t="str">
        <f>MID('CiDi SHEET'!$C$41,VLOOKUP($B97,PC_2,D$1+1,FALSE),1)</f>
        <v>1</v>
      </c>
      <c r="E97" s="1" t="str">
        <f>MID('CiDi SHEET'!$C$41,VLOOKUP($B97,PC_2,E$1+1,FALSE),1)</f>
        <v>0</v>
      </c>
      <c r="F97" s="1" t="str">
        <f>MID('CiDi SHEET'!$C$41,VLOOKUP($B97,PC_2,F$1+1,FALSE),1)</f>
        <v>1</v>
      </c>
      <c r="G97" s="1" t="str">
        <f>MID('CiDi SHEET'!$C$41,VLOOKUP($B97,PC_2,G$1+1,FALSE),1)</f>
        <v>1</v>
      </c>
      <c r="H97" s="1" t="str">
        <f>MID('CiDi SHEET'!$C$41,VLOOKUP($B97,PC_2,H$1+1,FALSE),1)</f>
        <v>1</v>
      </c>
      <c r="I97" t="str">
        <f t="shared" si="20"/>
        <v>110111</v>
      </c>
    </row>
    <row r="98" spans="1:9">
      <c r="B98">
        <v>7</v>
      </c>
      <c r="C98" s="1" t="str">
        <f>MID('CiDi SHEET'!$C$41,VLOOKUP($B98,PC_2,C$1+1,FALSE),1)</f>
        <v>1</v>
      </c>
      <c r="D98" s="1" t="str">
        <f>MID('CiDi SHEET'!$C$41,VLOOKUP($B98,PC_2,D$1+1,FALSE),1)</f>
        <v>1</v>
      </c>
      <c r="E98" s="1" t="str">
        <f>MID('CiDi SHEET'!$C$41,VLOOKUP($B98,PC_2,E$1+1,FALSE),1)</f>
        <v>0</v>
      </c>
      <c r="F98" s="1" t="str">
        <f>MID('CiDi SHEET'!$C$41,VLOOKUP($B98,PC_2,F$1+1,FALSE),1)</f>
        <v>0</v>
      </c>
      <c r="G98" s="1" t="str">
        <f>MID('CiDi SHEET'!$C$41,VLOOKUP($B98,PC_2,G$1+1,FALSE),1)</f>
        <v>1</v>
      </c>
      <c r="H98" s="1" t="str">
        <f>MID('CiDi SHEET'!$C$41,VLOOKUP($B98,PC_2,H$1+1,FALSE),1)</f>
        <v>0</v>
      </c>
      <c r="I98" t="str">
        <f t="shared" si="20"/>
        <v>110010</v>
      </c>
    </row>
    <row r="99" spans="1:9">
      <c r="B99">
        <v>8</v>
      </c>
      <c r="C99" s="1" t="str">
        <f>MID('CiDi SHEET'!$C$41,VLOOKUP($B99,PC_2,C$1+1,FALSE),1)</f>
        <v>1</v>
      </c>
      <c r="D99" s="1" t="str">
        <f>MID('CiDi SHEET'!$C$41,VLOOKUP($B99,PC_2,D$1+1,FALSE),1)</f>
        <v>0</v>
      </c>
      <c r="E99" s="1" t="str">
        <f>MID('CiDi SHEET'!$C$41,VLOOKUP($B99,PC_2,E$1+1,FALSE),1)</f>
        <v>0</v>
      </c>
      <c r="F99" s="1" t="str">
        <f>MID('CiDi SHEET'!$C$41,VLOOKUP($B99,PC_2,F$1+1,FALSE),1)</f>
        <v>1</v>
      </c>
      <c r="G99" s="1" t="str">
        <f>MID('CiDi SHEET'!$C$41,VLOOKUP($B99,PC_2,G$1+1,FALSE),1)</f>
        <v>0</v>
      </c>
      <c r="H99" s="1" t="str">
        <f>MID('CiDi SHEET'!$C$41,VLOOKUP($B99,PC_2,H$1+1,FALSE),1)</f>
        <v>1</v>
      </c>
      <c r="I99" t="str">
        <f t="shared" si="20"/>
        <v>100101</v>
      </c>
    </row>
    <row r="100" spans="1:9">
      <c r="A100" t="s">
        <v>136</v>
      </c>
      <c r="B100" t="str">
        <f>CONCATENATE(I92,I93,I94,I95,I96,I97,I98,I99)</f>
        <v>011011010101010101100000101011110111110010100101</v>
      </c>
    </row>
    <row r="101" spans="1:9">
      <c r="A101" t="s">
        <v>137</v>
      </c>
      <c r="B101">
        <v>1</v>
      </c>
      <c r="C101" s="1" t="str">
        <f>MID('CiDi SHEET'!$C$42,VLOOKUP($B101,PC_2,C$1+1,FALSE),1)</f>
        <v>1</v>
      </c>
      <c r="D101" s="1" t="str">
        <f>MID('CiDi SHEET'!$C$42,VLOOKUP($B101,PC_2,D$1+1,FALSE),1)</f>
        <v>1</v>
      </c>
      <c r="E101" s="1" t="str">
        <f>MID('CiDi SHEET'!$C$42,VLOOKUP($B101,PC_2,E$1+1,FALSE),1)</f>
        <v>0</v>
      </c>
      <c r="F101" s="1" t="str">
        <f>MID('CiDi SHEET'!$C$42,VLOOKUP($B101,PC_2,F$1+1,FALSE),1)</f>
        <v>0</v>
      </c>
      <c r="G101" s="1" t="str">
        <f>MID('CiDi SHEET'!$C$42,VLOOKUP($B101,PC_2,G$1+1,FALSE),1)</f>
        <v>0</v>
      </c>
      <c r="H101" s="1" t="str">
        <f>MID('CiDi SHEET'!$C$42,VLOOKUP($B101,PC_2,H$1+1,FALSE),1)</f>
        <v>0</v>
      </c>
      <c r="I101" t="str">
        <f t="shared" ref="I101:I108" si="21">CONCATENATE(C101,D101,E101,F101,G101,H101)</f>
        <v>110000</v>
      </c>
    </row>
    <row r="102" spans="1:9">
      <c r="B102">
        <v>2</v>
      </c>
      <c r="C102" s="1" t="str">
        <f>MID('CiDi SHEET'!$C$42,VLOOKUP($B102,PC_2,C$1+1,FALSE),1)</f>
        <v>1</v>
      </c>
      <c r="D102" s="1" t="str">
        <f>MID('CiDi SHEET'!$C$42,VLOOKUP($B102,PC_2,D$1+1,FALSE),1)</f>
        <v>0</v>
      </c>
      <c r="E102" s="1" t="str">
        <f>MID('CiDi SHEET'!$C$42,VLOOKUP($B102,PC_2,E$1+1,FALSE),1)</f>
        <v>1</v>
      </c>
      <c r="F102" s="1" t="str">
        <f>MID('CiDi SHEET'!$C$42,VLOOKUP($B102,PC_2,F$1+1,FALSE),1)</f>
        <v>1</v>
      </c>
      <c r="G102" s="1" t="str">
        <f>MID('CiDi SHEET'!$C$42,VLOOKUP($B102,PC_2,G$1+1,FALSE),1)</f>
        <v>0</v>
      </c>
      <c r="H102" s="1" t="str">
        <f>MID('CiDi SHEET'!$C$42,VLOOKUP($B102,PC_2,H$1+1,FALSE),1)</f>
        <v>0</v>
      </c>
      <c r="I102" t="str">
        <f t="shared" si="21"/>
        <v>101100</v>
      </c>
    </row>
    <row r="103" spans="1:9">
      <c r="B103">
        <v>3</v>
      </c>
      <c r="C103" s="1" t="str">
        <f>MID('CiDi SHEET'!$C$42,VLOOKUP($B103,PC_2,C$1+1,FALSE),1)</f>
        <v>0</v>
      </c>
      <c r="D103" s="1" t="str">
        <f>MID('CiDi SHEET'!$C$42,VLOOKUP($B103,PC_2,D$1+1,FALSE),1)</f>
        <v>0</v>
      </c>
      <c r="E103" s="1" t="str">
        <f>MID('CiDi SHEET'!$C$42,VLOOKUP($B103,PC_2,E$1+1,FALSE),1)</f>
        <v>0</v>
      </c>
      <c r="F103" s="1" t="str">
        <f>MID('CiDi SHEET'!$C$42,VLOOKUP($B103,PC_2,F$1+1,FALSE),1)</f>
        <v>1</v>
      </c>
      <c r="G103" s="1" t="str">
        <f>MID('CiDi SHEET'!$C$42,VLOOKUP($B103,PC_2,G$1+1,FALSE),1)</f>
        <v>1</v>
      </c>
      <c r="H103" s="1" t="str">
        <f>MID('CiDi SHEET'!$C$42,VLOOKUP($B103,PC_2,H$1+1,FALSE),1)</f>
        <v>1</v>
      </c>
      <c r="I103" t="str">
        <f t="shared" si="21"/>
        <v>000111</v>
      </c>
    </row>
    <row r="104" spans="1:9">
      <c r="B104">
        <v>4</v>
      </c>
      <c r="C104" s="1" t="str">
        <f>MID('CiDi SHEET'!$C$42,VLOOKUP($B104,PC_2,C$1+1,FALSE),1)</f>
        <v>1</v>
      </c>
      <c r="D104" s="1" t="str">
        <f>MID('CiDi SHEET'!$C$42,VLOOKUP($B104,PC_2,D$1+1,FALSE),1)</f>
        <v>0</v>
      </c>
      <c r="E104" s="1" t="str">
        <f>MID('CiDi SHEET'!$C$42,VLOOKUP($B104,PC_2,E$1+1,FALSE),1)</f>
        <v>1</v>
      </c>
      <c r="F104" s="1" t="str">
        <f>MID('CiDi SHEET'!$C$42,VLOOKUP($B104,PC_2,F$1+1,FALSE),1)</f>
        <v>0</v>
      </c>
      <c r="G104" s="1" t="str">
        <f>MID('CiDi SHEET'!$C$42,VLOOKUP($B104,PC_2,G$1+1,FALSE),1)</f>
        <v>0</v>
      </c>
      <c r="H104" s="1" t="str">
        <f>MID('CiDi SHEET'!$C$42,VLOOKUP($B104,PC_2,H$1+1,FALSE),1)</f>
        <v>1</v>
      </c>
      <c r="I104" t="str">
        <f t="shared" si="21"/>
        <v>101001</v>
      </c>
    </row>
    <row r="105" spans="1:9">
      <c r="B105">
        <v>5</v>
      </c>
      <c r="C105" s="1" t="str">
        <f>MID('CiDi SHEET'!$C$42,VLOOKUP($B105,PC_2,C$1+1,FALSE),1)</f>
        <v>0</v>
      </c>
      <c r="D105" s="1" t="str">
        <f>MID('CiDi SHEET'!$C$42,VLOOKUP($B105,PC_2,D$1+1,FALSE),1)</f>
        <v>1</v>
      </c>
      <c r="E105" s="1" t="str">
        <f>MID('CiDi SHEET'!$C$42,VLOOKUP($B105,PC_2,E$1+1,FALSE),1)</f>
        <v>1</v>
      </c>
      <c r="F105" s="1" t="str">
        <f>MID('CiDi SHEET'!$C$42,VLOOKUP($B105,PC_2,F$1+1,FALSE),1)</f>
        <v>0</v>
      </c>
      <c r="G105" s="1" t="str">
        <f>MID('CiDi SHEET'!$C$42,VLOOKUP($B105,PC_2,G$1+1,FALSE),1)</f>
        <v>1</v>
      </c>
      <c r="H105" s="1" t="str">
        <f>MID('CiDi SHEET'!$C$42,VLOOKUP($B105,PC_2,H$1+1,FALSE),1)</f>
        <v>0</v>
      </c>
      <c r="I105" t="str">
        <f t="shared" si="21"/>
        <v>011010</v>
      </c>
    </row>
    <row r="106" spans="1:9">
      <c r="B106">
        <v>6</v>
      </c>
      <c r="C106" s="1" t="str">
        <f>MID('CiDi SHEET'!$C$42,VLOOKUP($B106,PC_2,C$1+1,FALSE),1)</f>
        <v>1</v>
      </c>
      <c r="D106" s="1" t="str">
        <f>MID('CiDi SHEET'!$C$42,VLOOKUP($B106,PC_2,D$1+1,FALSE),1)</f>
        <v>0</v>
      </c>
      <c r="E106" s="1" t="str">
        <f>MID('CiDi SHEET'!$C$42,VLOOKUP($B106,PC_2,E$1+1,FALSE),1)</f>
        <v>0</v>
      </c>
      <c r="F106" s="1" t="str">
        <f>MID('CiDi SHEET'!$C$42,VLOOKUP($B106,PC_2,F$1+1,FALSE),1)</f>
        <v>1</v>
      </c>
      <c r="G106" s="1" t="str">
        <f>MID('CiDi SHEET'!$C$42,VLOOKUP($B106,PC_2,G$1+1,FALSE),1)</f>
        <v>0</v>
      </c>
      <c r="H106" s="1" t="str">
        <f>MID('CiDi SHEET'!$C$42,VLOOKUP($B106,PC_2,H$1+1,FALSE),1)</f>
        <v>0</v>
      </c>
      <c r="I106" t="str">
        <f t="shared" si="21"/>
        <v>100100</v>
      </c>
    </row>
    <row r="107" spans="1:9">
      <c r="B107">
        <v>7</v>
      </c>
      <c r="C107" s="1" t="str">
        <f>MID('CiDi SHEET'!$C$42,VLOOKUP($B107,PC_2,C$1+1,FALSE),1)</f>
        <v>1</v>
      </c>
      <c r="D107" s="1" t="str">
        <f>MID('CiDi SHEET'!$C$42,VLOOKUP($B107,PC_2,D$1+1,FALSE),1)</f>
        <v>0</v>
      </c>
      <c r="E107" s="1" t="str">
        <f>MID('CiDi SHEET'!$C$42,VLOOKUP($B107,PC_2,E$1+1,FALSE),1)</f>
        <v>1</v>
      </c>
      <c r="F107" s="1" t="str">
        <f>MID('CiDi SHEET'!$C$42,VLOOKUP($B107,PC_2,F$1+1,FALSE),1)</f>
        <v>1</v>
      </c>
      <c r="G107" s="1" t="str">
        <f>MID('CiDi SHEET'!$C$42,VLOOKUP($B107,PC_2,G$1+1,FALSE),1)</f>
        <v>1</v>
      </c>
      <c r="H107" s="1" t="str">
        <f>MID('CiDi SHEET'!$C$42,VLOOKUP($B107,PC_2,H$1+1,FALSE),1)</f>
        <v>1</v>
      </c>
      <c r="I107" t="str">
        <f t="shared" si="21"/>
        <v>101111</v>
      </c>
    </row>
    <row r="108" spans="1:9">
      <c r="B108">
        <v>8</v>
      </c>
      <c r="C108" s="1" t="str">
        <f>MID('CiDi SHEET'!$C$42,VLOOKUP($B108,PC_2,C$1+1,FALSE),1)</f>
        <v>1</v>
      </c>
      <c r="D108" s="1" t="str">
        <f>MID('CiDi SHEET'!$C$42,VLOOKUP($B108,PC_2,D$1+1,FALSE),1)</f>
        <v>1</v>
      </c>
      <c r="E108" s="1" t="str">
        <f>MID('CiDi SHEET'!$C$42,VLOOKUP($B108,PC_2,E$1+1,FALSE),1)</f>
        <v>0</v>
      </c>
      <c r="F108" s="1" t="str">
        <f>MID('CiDi SHEET'!$C$42,VLOOKUP($B108,PC_2,F$1+1,FALSE),1)</f>
        <v>0</v>
      </c>
      <c r="G108" s="1" t="str">
        <f>MID('CiDi SHEET'!$C$42,VLOOKUP($B108,PC_2,G$1+1,FALSE),1)</f>
        <v>1</v>
      </c>
      <c r="H108" s="1" t="str">
        <f>MID('CiDi SHEET'!$C$42,VLOOKUP($B108,PC_2,H$1+1,FALSE),1)</f>
        <v>1</v>
      </c>
      <c r="I108" t="str">
        <f t="shared" si="21"/>
        <v>110011</v>
      </c>
    </row>
    <row r="109" spans="1:9">
      <c r="A109" t="s">
        <v>137</v>
      </c>
      <c r="B109" t="str">
        <f>CONCATENATE(I101,I102,I103,I104,I105,I106,I107,I108)</f>
        <v>110000101100000111101001011010100100101111110011</v>
      </c>
    </row>
    <row r="110" spans="1:9">
      <c r="A110" t="s">
        <v>138</v>
      </c>
      <c r="B110">
        <v>1</v>
      </c>
      <c r="C110" s="1" t="str">
        <f>MID('CiDi SHEET'!$C$43,VLOOKUP($B110,PC_2,C$1+1,FALSE),1)</f>
        <v>1</v>
      </c>
      <c r="D110" s="1" t="str">
        <f>MID('CiDi SHEET'!$C$43,VLOOKUP($B110,PC_2,D$1+1,FALSE),1)</f>
        <v>0</v>
      </c>
      <c r="E110" s="1" t="str">
        <f>MID('CiDi SHEET'!$C$43,VLOOKUP($B110,PC_2,E$1+1,FALSE),1)</f>
        <v>0</v>
      </c>
      <c r="F110" s="1" t="str">
        <f>MID('CiDi SHEET'!$C$43,VLOOKUP($B110,PC_2,F$1+1,FALSE),1)</f>
        <v>1</v>
      </c>
      <c r="G110" s="1" t="str">
        <f>MID('CiDi SHEET'!$C$43,VLOOKUP($B110,PC_2,G$1+1,FALSE),1)</f>
        <v>1</v>
      </c>
      <c r="H110" s="1" t="str">
        <f>MID('CiDi SHEET'!$C$43,VLOOKUP($B110,PC_2,H$1+1,FALSE),1)</f>
        <v>0</v>
      </c>
      <c r="I110" t="str">
        <f t="shared" ref="I110:I117" si="22">CONCATENATE(C110,D110,E110,F110,G110,H110)</f>
        <v>100110</v>
      </c>
    </row>
    <row r="111" spans="1:9">
      <c r="B111">
        <v>2</v>
      </c>
      <c r="C111" s="1" t="str">
        <f>MID('CiDi SHEET'!$C$43,VLOOKUP($B111,PC_2,C$1+1,FALSE),1)</f>
        <v>0</v>
      </c>
      <c r="D111" s="1" t="str">
        <f>MID('CiDi SHEET'!$C$43,VLOOKUP($B111,PC_2,D$1+1,FALSE),1)</f>
        <v>1</v>
      </c>
      <c r="E111" s="1" t="str">
        <f>MID('CiDi SHEET'!$C$43,VLOOKUP($B111,PC_2,E$1+1,FALSE),1)</f>
        <v>1</v>
      </c>
      <c r="F111" s="1" t="str">
        <f>MID('CiDi SHEET'!$C$43,VLOOKUP($B111,PC_2,F$1+1,FALSE),1)</f>
        <v>1</v>
      </c>
      <c r="G111" s="1" t="str">
        <f>MID('CiDi SHEET'!$C$43,VLOOKUP($B111,PC_2,G$1+1,FALSE),1)</f>
        <v>0</v>
      </c>
      <c r="H111" s="1" t="str">
        <f>MID('CiDi SHEET'!$C$43,VLOOKUP($B111,PC_2,H$1+1,FALSE),1)</f>
        <v>0</v>
      </c>
      <c r="I111" t="str">
        <f t="shared" si="22"/>
        <v>011100</v>
      </c>
    </row>
    <row r="112" spans="1:9">
      <c r="B112">
        <v>3</v>
      </c>
      <c r="C112" s="1" t="str">
        <f>MID('CiDi SHEET'!$C$43,VLOOKUP($B112,PC_2,C$1+1,FALSE),1)</f>
        <v>0</v>
      </c>
      <c r="D112" s="1" t="str">
        <f>MID('CiDi SHEET'!$C$43,VLOOKUP($B112,PC_2,D$1+1,FALSE),1)</f>
        <v>0</v>
      </c>
      <c r="E112" s="1" t="str">
        <f>MID('CiDi SHEET'!$C$43,VLOOKUP($B112,PC_2,E$1+1,FALSE),1)</f>
        <v>1</v>
      </c>
      <c r="F112" s="1" t="str">
        <f>MID('CiDi SHEET'!$C$43,VLOOKUP($B112,PC_2,F$1+1,FALSE),1)</f>
        <v>1</v>
      </c>
      <c r="G112" s="1" t="str">
        <f>MID('CiDi SHEET'!$C$43,VLOOKUP($B112,PC_2,G$1+1,FALSE),1)</f>
        <v>0</v>
      </c>
      <c r="H112" s="1" t="str">
        <f>MID('CiDi SHEET'!$C$43,VLOOKUP($B112,PC_2,H$1+1,FALSE),1)</f>
        <v>0</v>
      </c>
      <c r="I112" t="str">
        <f t="shared" si="22"/>
        <v>001100</v>
      </c>
    </row>
    <row r="113" spans="1:9">
      <c r="B113">
        <v>4</v>
      </c>
      <c r="C113" s="1" t="str">
        <f>MID('CiDi SHEET'!$C$43,VLOOKUP($B113,PC_2,C$1+1,FALSE),1)</f>
        <v>0</v>
      </c>
      <c r="D113" s="1" t="str">
        <f>MID('CiDi SHEET'!$C$43,VLOOKUP($B113,PC_2,D$1+1,FALSE),1)</f>
        <v>1</v>
      </c>
      <c r="E113" s="1" t="str">
        <f>MID('CiDi SHEET'!$C$43,VLOOKUP($B113,PC_2,E$1+1,FALSE),1)</f>
        <v>0</v>
      </c>
      <c r="F113" s="1" t="str">
        <f>MID('CiDi SHEET'!$C$43,VLOOKUP($B113,PC_2,F$1+1,FALSE),1)</f>
        <v>0</v>
      </c>
      <c r="G113" s="1" t="str">
        <f>MID('CiDi SHEET'!$C$43,VLOOKUP($B113,PC_2,G$1+1,FALSE),1)</f>
        <v>1</v>
      </c>
      <c r="H113" s="1" t="str">
        <f>MID('CiDi SHEET'!$C$43,VLOOKUP($B113,PC_2,H$1+1,FALSE),1)</f>
        <v>1</v>
      </c>
      <c r="I113" t="str">
        <f t="shared" si="22"/>
        <v>010011</v>
      </c>
    </row>
    <row r="114" spans="1:9">
      <c r="B114">
        <v>5</v>
      </c>
      <c r="C114" s="1" t="str">
        <f>MID('CiDi SHEET'!$C$43,VLOOKUP($B114,PC_2,C$1+1,FALSE),1)</f>
        <v>1</v>
      </c>
      <c r="D114" s="1" t="str">
        <f>MID('CiDi SHEET'!$C$43,VLOOKUP($B114,PC_2,D$1+1,FALSE),1)</f>
        <v>0</v>
      </c>
      <c r="E114" s="1" t="str">
        <f>MID('CiDi SHEET'!$C$43,VLOOKUP($B114,PC_2,E$1+1,FALSE),1)</f>
        <v>0</v>
      </c>
      <c r="F114" s="1" t="str">
        <f>MID('CiDi SHEET'!$C$43,VLOOKUP($B114,PC_2,F$1+1,FALSE),1)</f>
        <v>1</v>
      </c>
      <c r="G114" s="1" t="str">
        <f>MID('CiDi SHEET'!$C$43,VLOOKUP($B114,PC_2,G$1+1,FALSE),1)</f>
        <v>0</v>
      </c>
      <c r="H114" s="1" t="str">
        <f>MID('CiDi SHEET'!$C$43,VLOOKUP($B114,PC_2,H$1+1,FALSE),1)</f>
        <v>1</v>
      </c>
      <c r="I114" t="str">
        <f t="shared" si="22"/>
        <v>100101</v>
      </c>
    </row>
    <row r="115" spans="1:9">
      <c r="B115">
        <v>6</v>
      </c>
      <c r="C115" s="1" t="str">
        <f>MID('CiDi SHEET'!$C$43,VLOOKUP($B115,PC_2,C$1+1,FALSE),1)</f>
        <v>1</v>
      </c>
      <c r="D115" s="1" t="str">
        <f>MID('CiDi SHEET'!$C$43,VLOOKUP($B115,PC_2,D$1+1,FALSE),1)</f>
        <v>1</v>
      </c>
      <c r="E115" s="1" t="str">
        <f>MID('CiDi SHEET'!$C$43,VLOOKUP($B115,PC_2,E$1+1,FALSE),1)</f>
        <v>1</v>
      </c>
      <c r="F115" s="1" t="str">
        <f>MID('CiDi SHEET'!$C$43,VLOOKUP($B115,PC_2,F$1+1,FALSE),1)</f>
        <v>1</v>
      </c>
      <c r="G115" s="1" t="str">
        <f>MID('CiDi SHEET'!$C$43,VLOOKUP($B115,PC_2,G$1+1,FALSE),1)</f>
        <v>0</v>
      </c>
      <c r="H115" s="1" t="str">
        <f>MID('CiDi SHEET'!$C$43,VLOOKUP($B115,PC_2,H$1+1,FALSE),1)</f>
        <v>0</v>
      </c>
      <c r="I115" t="str">
        <f t="shared" si="22"/>
        <v>111100</v>
      </c>
    </row>
    <row r="116" spans="1:9">
      <c r="B116">
        <v>7</v>
      </c>
      <c r="C116" s="1" t="str">
        <f>MID('CiDi SHEET'!$C$43,VLOOKUP($B116,PC_2,C$1+1,FALSE),1)</f>
        <v>1</v>
      </c>
      <c r="D116" s="1" t="str">
        <f>MID('CiDi SHEET'!$C$43,VLOOKUP($B116,PC_2,D$1+1,FALSE),1)</f>
        <v>0</v>
      </c>
      <c r="E116" s="1" t="str">
        <f>MID('CiDi SHEET'!$C$43,VLOOKUP($B116,PC_2,E$1+1,FALSE),1)</f>
        <v>0</v>
      </c>
      <c r="F116" s="1" t="str">
        <f>MID('CiDi SHEET'!$C$43,VLOOKUP($B116,PC_2,F$1+1,FALSE),1)</f>
        <v>1</v>
      </c>
      <c r="G116" s="1" t="str">
        <f>MID('CiDi SHEET'!$C$43,VLOOKUP($B116,PC_2,G$1+1,FALSE),1)</f>
        <v>0</v>
      </c>
      <c r="H116" s="1" t="str">
        <f>MID('CiDi SHEET'!$C$43,VLOOKUP($B116,PC_2,H$1+1,FALSE),1)</f>
        <v>0</v>
      </c>
      <c r="I116" t="str">
        <f t="shared" si="22"/>
        <v>100100</v>
      </c>
    </row>
    <row r="117" spans="1:9">
      <c r="B117">
        <v>8</v>
      </c>
      <c r="C117" s="1" t="str">
        <f>MID('CiDi SHEET'!$C$43,VLOOKUP($B117,PC_2,C$1+1,FALSE),1)</f>
        <v>0</v>
      </c>
      <c r="D117" s="1" t="str">
        <f>MID('CiDi SHEET'!$C$43,VLOOKUP($B117,PC_2,D$1+1,FALSE),1)</f>
        <v>1</v>
      </c>
      <c r="E117" s="1" t="str">
        <f>MID('CiDi SHEET'!$C$43,VLOOKUP($B117,PC_2,E$1+1,FALSE),1)</f>
        <v>1</v>
      </c>
      <c r="F117" s="1" t="str">
        <f>MID('CiDi SHEET'!$C$43,VLOOKUP($B117,PC_2,F$1+1,FALSE),1)</f>
        <v>1</v>
      </c>
      <c r="G117" s="1" t="str">
        <f>MID('CiDi SHEET'!$C$43,VLOOKUP($B117,PC_2,G$1+1,FALSE),1)</f>
        <v>1</v>
      </c>
      <c r="H117" s="1" t="str">
        <f>MID('CiDi SHEET'!$C$43,VLOOKUP($B117,PC_2,H$1+1,FALSE),1)</f>
        <v>1</v>
      </c>
      <c r="I117" t="str">
        <f t="shared" si="22"/>
        <v>011111</v>
      </c>
    </row>
    <row r="118" spans="1:9">
      <c r="A118" t="s">
        <v>138</v>
      </c>
      <c r="B118" t="str">
        <f>CONCATENATE(I110,I111,I112,I113,I114,I115,I116,I117)</f>
        <v>100110011100001100010011100101111100100100011111</v>
      </c>
    </row>
    <row r="119" spans="1:9">
      <c r="A119" t="s">
        <v>139</v>
      </c>
      <c r="B119">
        <v>1</v>
      </c>
      <c r="C119" s="1" t="str">
        <f>MID('CiDi SHEET'!$C$44,VLOOKUP($B119,PC_2,C$1+1,FALSE),1)</f>
        <v>0</v>
      </c>
      <c r="D119" s="1" t="str">
        <f>MID('CiDi SHEET'!$C$44,VLOOKUP($B119,PC_2,D$1+1,FALSE),1)</f>
        <v>0</v>
      </c>
      <c r="E119" s="1" t="str">
        <f>MID('CiDi SHEET'!$C$44,VLOOKUP($B119,PC_2,E$1+1,FALSE),1)</f>
        <v>1</v>
      </c>
      <c r="F119" s="1" t="str">
        <f>MID('CiDi SHEET'!$C$44,VLOOKUP($B119,PC_2,F$1+1,FALSE),1)</f>
        <v>0</v>
      </c>
      <c r="G119" s="1" t="str">
        <f>MID('CiDi SHEET'!$C$44,VLOOKUP($B119,PC_2,G$1+1,FALSE),1)</f>
        <v>0</v>
      </c>
      <c r="H119" s="1" t="str">
        <f>MID('CiDi SHEET'!$C$44,VLOOKUP($B119,PC_2,H$1+1,FALSE),1)</f>
        <v>1</v>
      </c>
      <c r="I119" t="str">
        <f t="shared" ref="I119:I126" si="23">CONCATENATE(C119,D119,E119,F119,G119,H119)</f>
        <v>001001</v>
      </c>
    </row>
    <row r="120" spans="1:9">
      <c r="B120">
        <v>2</v>
      </c>
      <c r="C120" s="1" t="str">
        <f>MID('CiDi SHEET'!$C$44,VLOOKUP($B120,PC_2,C$1+1,FALSE),1)</f>
        <v>0</v>
      </c>
      <c r="D120" s="1" t="str">
        <f>MID('CiDi SHEET'!$C$44,VLOOKUP($B120,PC_2,D$1+1,FALSE),1)</f>
        <v>1</v>
      </c>
      <c r="E120" s="1" t="str">
        <f>MID('CiDi SHEET'!$C$44,VLOOKUP($B120,PC_2,E$1+1,FALSE),1)</f>
        <v>0</v>
      </c>
      <c r="F120" s="1" t="str">
        <f>MID('CiDi SHEET'!$C$44,VLOOKUP($B120,PC_2,F$1+1,FALSE),1)</f>
        <v>0</v>
      </c>
      <c r="G120" s="1" t="str">
        <f>MID('CiDi SHEET'!$C$44,VLOOKUP($B120,PC_2,G$1+1,FALSE),1)</f>
        <v>0</v>
      </c>
      <c r="H120" s="1" t="str">
        <f>MID('CiDi SHEET'!$C$44,VLOOKUP($B120,PC_2,H$1+1,FALSE),1)</f>
        <v>1</v>
      </c>
      <c r="I120" t="str">
        <f t="shared" si="23"/>
        <v>010001</v>
      </c>
    </row>
    <row r="121" spans="1:9">
      <c r="B121">
        <v>3</v>
      </c>
      <c r="C121" s="1" t="str">
        <f>MID('CiDi SHEET'!$C$44,VLOOKUP($B121,PC_2,C$1+1,FALSE),1)</f>
        <v>1</v>
      </c>
      <c r="D121" s="1" t="str">
        <f>MID('CiDi SHEET'!$C$44,VLOOKUP($B121,PC_2,D$1+1,FALSE),1)</f>
        <v>0</v>
      </c>
      <c r="E121" s="1" t="str">
        <f>MID('CiDi SHEET'!$C$44,VLOOKUP($B121,PC_2,E$1+1,FALSE),1)</f>
        <v>1</v>
      </c>
      <c r="F121" s="1" t="str">
        <f>MID('CiDi SHEET'!$C$44,VLOOKUP($B121,PC_2,F$1+1,FALSE),1)</f>
        <v>1</v>
      </c>
      <c r="G121" s="1" t="str">
        <f>MID('CiDi SHEET'!$C$44,VLOOKUP($B121,PC_2,G$1+1,FALSE),1)</f>
        <v>1</v>
      </c>
      <c r="H121" s="1" t="str">
        <f>MID('CiDi SHEET'!$C$44,VLOOKUP($B121,PC_2,H$1+1,FALSE),1)</f>
        <v>0</v>
      </c>
      <c r="I121" t="str">
        <f t="shared" si="23"/>
        <v>101110</v>
      </c>
    </row>
    <row r="122" spans="1:9">
      <c r="B122">
        <v>4</v>
      </c>
      <c r="C122" s="1" t="str">
        <f>MID('CiDi SHEET'!$C$44,VLOOKUP($B122,PC_2,C$1+1,FALSE),1)</f>
        <v>0</v>
      </c>
      <c r="D122" s="1" t="str">
        <f>MID('CiDi SHEET'!$C$44,VLOOKUP($B122,PC_2,D$1+1,FALSE),1)</f>
        <v>0</v>
      </c>
      <c r="E122" s="1" t="str">
        <f>MID('CiDi SHEET'!$C$44,VLOOKUP($B122,PC_2,E$1+1,FALSE),1)</f>
        <v>1</v>
      </c>
      <c r="F122" s="1" t="str">
        <f>MID('CiDi SHEET'!$C$44,VLOOKUP($B122,PC_2,F$1+1,FALSE),1)</f>
        <v>0</v>
      </c>
      <c r="G122" s="1" t="str">
        <f>MID('CiDi SHEET'!$C$44,VLOOKUP($B122,PC_2,G$1+1,FALSE),1)</f>
        <v>1</v>
      </c>
      <c r="H122" s="1" t="str">
        <f>MID('CiDi SHEET'!$C$44,VLOOKUP($B122,PC_2,H$1+1,FALSE),1)</f>
        <v>1</v>
      </c>
      <c r="I122" t="str">
        <f t="shared" si="23"/>
        <v>001011</v>
      </c>
    </row>
    <row r="123" spans="1:9">
      <c r="B123">
        <v>5</v>
      </c>
      <c r="C123" s="1" t="str">
        <f>MID('CiDi SHEET'!$C$44,VLOOKUP($B123,PC_2,C$1+1,FALSE),1)</f>
        <v>1</v>
      </c>
      <c r="D123" s="1" t="str">
        <f>MID('CiDi SHEET'!$C$44,VLOOKUP($B123,PC_2,D$1+1,FALSE),1)</f>
        <v>1</v>
      </c>
      <c r="E123" s="1" t="str">
        <f>MID('CiDi SHEET'!$C$44,VLOOKUP($B123,PC_2,E$1+1,FALSE),1)</f>
        <v>0</v>
      </c>
      <c r="F123" s="1" t="str">
        <f>MID('CiDi SHEET'!$C$44,VLOOKUP($B123,PC_2,F$1+1,FALSE),1)</f>
        <v>0</v>
      </c>
      <c r="G123" s="1" t="str">
        <f>MID('CiDi SHEET'!$C$44,VLOOKUP($B123,PC_2,G$1+1,FALSE),1)</f>
        <v>0</v>
      </c>
      <c r="H123" s="1" t="str">
        <f>MID('CiDi SHEET'!$C$44,VLOOKUP($B123,PC_2,H$1+1,FALSE),1)</f>
        <v>1</v>
      </c>
      <c r="I123" t="str">
        <f t="shared" si="23"/>
        <v>110001</v>
      </c>
    </row>
    <row r="124" spans="1:9">
      <c r="B124">
        <v>6</v>
      </c>
      <c r="C124" s="1" t="str">
        <f>MID('CiDi SHEET'!$C$44,VLOOKUP($B124,PC_2,C$1+1,FALSE),1)</f>
        <v>1</v>
      </c>
      <c r="D124" s="1" t="str">
        <f>MID('CiDi SHEET'!$C$44,VLOOKUP($B124,PC_2,D$1+1,FALSE),1)</f>
        <v>1</v>
      </c>
      <c r="E124" s="1" t="str">
        <f>MID('CiDi SHEET'!$C$44,VLOOKUP($B124,PC_2,E$1+1,FALSE),1)</f>
        <v>0</v>
      </c>
      <c r="F124" s="1" t="str">
        <f>MID('CiDi SHEET'!$C$44,VLOOKUP($B124,PC_2,F$1+1,FALSE),1)</f>
        <v>0</v>
      </c>
      <c r="G124" s="1" t="str">
        <f>MID('CiDi SHEET'!$C$44,VLOOKUP($B124,PC_2,G$1+1,FALSE),1)</f>
        <v>0</v>
      </c>
      <c r="H124" s="1" t="str">
        <f>MID('CiDi SHEET'!$C$44,VLOOKUP($B124,PC_2,H$1+1,FALSE),1)</f>
        <v>1</v>
      </c>
      <c r="I124" t="str">
        <f t="shared" si="23"/>
        <v>110001</v>
      </c>
    </row>
    <row r="125" spans="1:9">
      <c r="B125">
        <v>7</v>
      </c>
      <c r="C125" s="1" t="str">
        <f>MID('CiDi SHEET'!$C$44,VLOOKUP($B125,PC_2,C$1+1,FALSE),1)</f>
        <v>0</v>
      </c>
      <c r="D125" s="1" t="str">
        <f>MID('CiDi SHEET'!$C$44,VLOOKUP($B125,PC_2,D$1+1,FALSE),1)</f>
        <v>1</v>
      </c>
      <c r="E125" s="1" t="str">
        <f>MID('CiDi SHEET'!$C$44,VLOOKUP($B125,PC_2,E$1+1,FALSE),1)</f>
        <v>1</v>
      </c>
      <c r="F125" s="1" t="str">
        <f>MID('CiDi SHEET'!$C$44,VLOOKUP($B125,PC_2,F$1+1,FALSE),1)</f>
        <v>1</v>
      </c>
      <c r="G125" s="1" t="str">
        <f>MID('CiDi SHEET'!$C$44,VLOOKUP($B125,PC_2,G$1+1,FALSE),1)</f>
        <v>1</v>
      </c>
      <c r="H125" s="1" t="str">
        <f>MID('CiDi SHEET'!$C$44,VLOOKUP($B125,PC_2,H$1+1,FALSE),1)</f>
        <v>1</v>
      </c>
      <c r="I125" t="str">
        <f t="shared" si="23"/>
        <v>011111</v>
      </c>
    </row>
    <row r="126" spans="1:9">
      <c r="B126">
        <v>8</v>
      </c>
      <c r="C126" s="1" t="str">
        <f>MID('CiDi SHEET'!$C$44,VLOOKUP($B126,PC_2,C$1+1,FALSE),1)</f>
        <v>0</v>
      </c>
      <c r="D126" s="1" t="str">
        <f>MID('CiDi SHEET'!$C$44,VLOOKUP($B126,PC_2,D$1+1,FALSE),1)</f>
        <v>1</v>
      </c>
      <c r="E126" s="1" t="str">
        <f>MID('CiDi SHEET'!$C$44,VLOOKUP($B126,PC_2,E$1+1,FALSE),1)</f>
        <v>0</v>
      </c>
      <c r="F126" s="1" t="str">
        <f>MID('CiDi SHEET'!$C$44,VLOOKUP($B126,PC_2,F$1+1,FALSE),1)</f>
        <v>0</v>
      </c>
      <c r="G126" s="1" t="str">
        <f>MID('CiDi SHEET'!$C$44,VLOOKUP($B126,PC_2,G$1+1,FALSE),1)</f>
        <v>0</v>
      </c>
      <c r="H126" s="1" t="str">
        <f>MID('CiDi SHEET'!$C$44,VLOOKUP($B126,PC_2,H$1+1,FALSE),1)</f>
        <v>0</v>
      </c>
      <c r="I126" t="str">
        <f t="shared" si="23"/>
        <v>010000</v>
      </c>
    </row>
    <row r="127" spans="1:9">
      <c r="A127" t="s">
        <v>139</v>
      </c>
      <c r="B127" t="str">
        <f>CONCATENATE(I119,I120,I121,I122,I123,I124,I125,I126)</f>
        <v>001001010001101110001011110001110001011111010000</v>
      </c>
    </row>
    <row r="128" spans="1:9">
      <c r="A128" t="s">
        <v>140</v>
      </c>
      <c r="B128">
        <v>1</v>
      </c>
      <c r="C128" s="1" t="str">
        <f>MID('CiDi SHEET'!$C$45,VLOOKUP($B128,PC_2,C$1+1,FALSE),1)</f>
        <v>0</v>
      </c>
      <c r="D128" s="1" t="str">
        <f>MID('CiDi SHEET'!$C$45,VLOOKUP($B128,PC_2,D$1+1,FALSE),1)</f>
        <v>0</v>
      </c>
      <c r="E128" s="1" t="str">
        <f>MID('CiDi SHEET'!$C$45,VLOOKUP($B128,PC_2,E$1+1,FALSE),1)</f>
        <v>1</v>
      </c>
      <c r="F128" s="1" t="str">
        <f>MID('CiDi SHEET'!$C$45,VLOOKUP($B128,PC_2,F$1+1,FALSE),1)</f>
        <v>1</v>
      </c>
      <c r="G128" s="1" t="str">
        <f>MID('CiDi SHEET'!$C$45,VLOOKUP($B128,PC_2,G$1+1,FALSE),1)</f>
        <v>0</v>
      </c>
      <c r="H128" s="1" t="str">
        <f>MID('CiDi SHEET'!$C$45,VLOOKUP($B128,PC_2,H$1+1,FALSE),1)</f>
        <v>0</v>
      </c>
      <c r="I128" t="str">
        <f t="shared" ref="I128:I135" si="24">CONCATENATE(C128,D128,E128,F128,G128,H128)</f>
        <v>001100</v>
      </c>
    </row>
    <row r="129" spans="1:9">
      <c r="B129">
        <v>2</v>
      </c>
      <c r="C129" s="1" t="str">
        <f>MID('CiDi SHEET'!$C$45,VLOOKUP($B129,PC_2,C$1+1,FALSE),1)</f>
        <v>1</v>
      </c>
      <c r="D129" s="1" t="str">
        <f>MID('CiDi SHEET'!$C$45,VLOOKUP($B129,PC_2,D$1+1,FALSE),1)</f>
        <v>1</v>
      </c>
      <c r="E129" s="1" t="str">
        <f>MID('CiDi SHEET'!$C$45,VLOOKUP($B129,PC_2,E$1+1,FALSE),1)</f>
        <v>0</v>
      </c>
      <c r="F129" s="1" t="str">
        <f>MID('CiDi SHEET'!$C$45,VLOOKUP($B129,PC_2,F$1+1,FALSE),1)</f>
        <v>0</v>
      </c>
      <c r="G129" s="1" t="str">
        <f>MID('CiDi SHEET'!$C$45,VLOOKUP($B129,PC_2,G$1+1,FALSE),1)</f>
        <v>1</v>
      </c>
      <c r="H129" s="1" t="str">
        <f>MID('CiDi SHEET'!$C$45,VLOOKUP($B129,PC_2,H$1+1,FALSE),1)</f>
        <v>1</v>
      </c>
      <c r="I129" t="str">
        <f t="shared" si="24"/>
        <v>110011</v>
      </c>
    </row>
    <row r="130" spans="1:9">
      <c r="B130">
        <v>3</v>
      </c>
      <c r="C130" s="1" t="str">
        <f>MID('CiDi SHEET'!$C$45,VLOOKUP($B130,PC_2,C$1+1,FALSE),1)</f>
        <v>0</v>
      </c>
      <c r="D130" s="1" t="str">
        <f>MID('CiDi SHEET'!$C$45,VLOOKUP($B130,PC_2,D$1+1,FALSE),1)</f>
        <v>0</v>
      </c>
      <c r="E130" s="1" t="str">
        <f>MID('CiDi SHEET'!$C$45,VLOOKUP($B130,PC_2,E$1+1,FALSE),1)</f>
        <v>0</v>
      </c>
      <c r="F130" s="1" t="str">
        <f>MID('CiDi SHEET'!$C$45,VLOOKUP($B130,PC_2,F$1+1,FALSE),1)</f>
        <v>0</v>
      </c>
      <c r="G130" s="1" t="str">
        <f>MID('CiDi SHEET'!$C$45,VLOOKUP($B130,PC_2,G$1+1,FALSE),1)</f>
        <v>1</v>
      </c>
      <c r="H130" s="1" t="str">
        <f>MID('CiDi SHEET'!$C$45,VLOOKUP($B130,PC_2,H$1+1,FALSE),1)</f>
        <v>1</v>
      </c>
      <c r="I130" t="str">
        <f t="shared" si="24"/>
        <v>000011</v>
      </c>
    </row>
    <row r="131" spans="1:9">
      <c r="B131">
        <v>4</v>
      </c>
      <c r="C131" s="1" t="str">
        <f>MID('CiDi SHEET'!$C$45,VLOOKUP($B131,PC_2,C$1+1,FALSE),1)</f>
        <v>0</v>
      </c>
      <c r="D131" s="1" t="str">
        <f>MID('CiDi SHEET'!$C$45,VLOOKUP($B131,PC_2,D$1+1,FALSE),1)</f>
        <v>0</v>
      </c>
      <c r="E131" s="1" t="str">
        <f>MID('CiDi SHEET'!$C$45,VLOOKUP($B131,PC_2,E$1+1,FALSE),1)</f>
        <v>0</v>
      </c>
      <c r="F131" s="1" t="str">
        <f>MID('CiDi SHEET'!$C$45,VLOOKUP($B131,PC_2,F$1+1,FALSE),1)</f>
        <v>1</v>
      </c>
      <c r="G131" s="1" t="str">
        <f>MID('CiDi SHEET'!$C$45,VLOOKUP($B131,PC_2,G$1+1,FALSE),1)</f>
        <v>0</v>
      </c>
      <c r="H131" s="1" t="str">
        <f>MID('CiDi SHEET'!$C$45,VLOOKUP($B131,PC_2,H$1+1,FALSE),1)</f>
        <v>1</v>
      </c>
      <c r="I131" t="str">
        <f t="shared" si="24"/>
        <v>000101</v>
      </c>
    </row>
    <row r="132" spans="1:9">
      <c r="B132">
        <v>5</v>
      </c>
      <c r="C132" s="1" t="str">
        <f>MID('CiDi SHEET'!$C$45,VLOOKUP($B132,PC_2,C$1+1,FALSE),1)</f>
        <v>1</v>
      </c>
      <c r="D132" s="1" t="str">
        <f>MID('CiDi SHEET'!$C$45,VLOOKUP($B132,PC_2,D$1+1,FALSE),1)</f>
        <v>1</v>
      </c>
      <c r="E132" s="1" t="str">
        <f>MID('CiDi SHEET'!$C$45,VLOOKUP($B132,PC_2,E$1+1,FALSE),1)</f>
        <v>0</v>
      </c>
      <c r="F132" s="1" t="str">
        <f>MID('CiDi SHEET'!$C$45,VLOOKUP($B132,PC_2,F$1+1,FALSE),1)</f>
        <v>1</v>
      </c>
      <c r="G132" s="1" t="str">
        <f>MID('CiDi SHEET'!$C$45,VLOOKUP($B132,PC_2,G$1+1,FALSE),1)</f>
        <v>1</v>
      </c>
      <c r="H132" s="1" t="str">
        <f>MID('CiDi SHEET'!$C$45,VLOOKUP($B132,PC_2,H$1+1,FALSE),1)</f>
        <v>0</v>
      </c>
      <c r="I132" t="str">
        <f t="shared" si="24"/>
        <v>110110</v>
      </c>
    </row>
    <row r="133" spans="1:9">
      <c r="B133">
        <v>6</v>
      </c>
      <c r="C133" s="1" t="str">
        <f>MID('CiDi SHEET'!$C$45,VLOOKUP($B133,PC_2,C$1+1,FALSE),1)</f>
        <v>0</v>
      </c>
      <c r="D133" s="1" t="str">
        <f>MID('CiDi SHEET'!$C$45,VLOOKUP($B133,PC_2,D$1+1,FALSE),1)</f>
        <v>1</v>
      </c>
      <c r="E133" s="1" t="str">
        <f>MID('CiDi SHEET'!$C$45,VLOOKUP($B133,PC_2,E$1+1,FALSE),1)</f>
        <v>1</v>
      </c>
      <c r="F133" s="1" t="str">
        <f>MID('CiDi SHEET'!$C$45,VLOOKUP($B133,PC_2,F$1+1,FALSE),1)</f>
        <v>0</v>
      </c>
      <c r="G133" s="1" t="str">
        <f>MID('CiDi SHEET'!$C$45,VLOOKUP($B133,PC_2,G$1+1,FALSE),1)</f>
        <v>1</v>
      </c>
      <c r="H133" s="1" t="str">
        <f>MID('CiDi SHEET'!$C$45,VLOOKUP($B133,PC_2,H$1+1,FALSE),1)</f>
        <v>0</v>
      </c>
      <c r="I133" t="str">
        <f t="shared" si="24"/>
        <v>011010</v>
      </c>
    </row>
    <row r="134" spans="1:9">
      <c r="B134">
        <v>7</v>
      </c>
      <c r="C134" s="1" t="str">
        <f>MID('CiDi SHEET'!$C$45,VLOOKUP($B134,PC_2,C$1+1,FALSE),1)</f>
        <v>0</v>
      </c>
      <c r="D134" s="1" t="str">
        <f>MID('CiDi SHEET'!$C$45,VLOOKUP($B134,PC_2,D$1+1,FALSE),1)</f>
        <v>0</v>
      </c>
      <c r="E134" s="1" t="str">
        <f>MID('CiDi SHEET'!$C$45,VLOOKUP($B134,PC_2,E$1+1,FALSE),1)</f>
        <v>1</v>
      </c>
      <c r="F134" s="1" t="str">
        <f>MID('CiDi SHEET'!$C$45,VLOOKUP($B134,PC_2,F$1+1,FALSE),1)</f>
        <v>1</v>
      </c>
      <c r="G134" s="1" t="str">
        <f>MID('CiDi SHEET'!$C$45,VLOOKUP($B134,PC_2,G$1+1,FALSE),1)</f>
        <v>0</v>
      </c>
      <c r="H134" s="1" t="str">
        <f>MID('CiDi SHEET'!$C$45,VLOOKUP($B134,PC_2,H$1+1,FALSE),1)</f>
        <v>1</v>
      </c>
      <c r="I134" t="str">
        <f t="shared" si="24"/>
        <v>001101</v>
      </c>
    </row>
    <row r="135" spans="1:9">
      <c r="B135">
        <v>8</v>
      </c>
      <c r="C135" s="1" t="str">
        <f>MID('CiDi SHEET'!$C$45,VLOOKUP($B135,PC_2,C$1+1,FALSE),1)</f>
        <v>1</v>
      </c>
      <c r="D135" s="1" t="str">
        <f>MID('CiDi SHEET'!$C$45,VLOOKUP($B135,PC_2,D$1+1,FALSE),1)</f>
        <v>0</v>
      </c>
      <c r="E135" s="1" t="str">
        <f>MID('CiDi SHEET'!$C$45,VLOOKUP($B135,PC_2,E$1+1,FALSE),1)</f>
        <v>1</v>
      </c>
      <c r="F135" s="1" t="str">
        <f>MID('CiDi SHEET'!$C$45,VLOOKUP($B135,PC_2,F$1+1,FALSE),1)</f>
        <v>1</v>
      </c>
      <c r="G135" s="1" t="str">
        <f>MID('CiDi SHEET'!$C$45,VLOOKUP($B135,PC_2,G$1+1,FALSE),1)</f>
        <v>0</v>
      </c>
      <c r="H135" s="1" t="str">
        <f>MID('CiDi SHEET'!$C$45,VLOOKUP($B135,PC_2,H$1+1,FALSE),1)</f>
        <v>1</v>
      </c>
      <c r="I135" t="str">
        <f t="shared" si="24"/>
        <v>101101</v>
      </c>
    </row>
    <row r="136" spans="1:9">
      <c r="A136" t="s">
        <v>140</v>
      </c>
      <c r="B136" t="str">
        <f>CONCATENATE(I128,I129,I130,I131,I132,I133,I134,I135)</f>
        <v>001100110011000011000101110110011010001101101101</v>
      </c>
    </row>
    <row r="137" spans="1:9">
      <c r="A137" t="s">
        <v>141</v>
      </c>
      <c r="B137">
        <v>1</v>
      </c>
      <c r="C137" s="1" t="str">
        <f>MID('CiDi SHEET'!$C$46,VLOOKUP($B137,PC_2,C$1+1,FALSE),1)</f>
        <v>0</v>
      </c>
      <c r="D137" s="1" t="str">
        <f>MID('CiDi SHEET'!$C$46,VLOOKUP($B137,PC_2,D$1+1,FALSE),1)</f>
        <v>0</v>
      </c>
      <c r="E137" s="1" t="str">
        <f>MID('CiDi SHEET'!$C$46,VLOOKUP($B137,PC_2,E$1+1,FALSE),1)</f>
        <v>0</v>
      </c>
      <c r="F137" s="1" t="str">
        <f>MID('CiDi SHEET'!$C$46,VLOOKUP($B137,PC_2,F$1+1,FALSE),1)</f>
        <v>1</v>
      </c>
      <c r="G137" s="1" t="str">
        <f>MID('CiDi SHEET'!$C$46,VLOOKUP($B137,PC_2,G$1+1,FALSE),1)</f>
        <v>1</v>
      </c>
      <c r="H137" s="1" t="str">
        <f>MID('CiDi SHEET'!$C$46,VLOOKUP($B137,PC_2,H$1+1,FALSE),1)</f>
        <v>0</v>
      </c>
      <c r="I137" t="str">
        <f t="shared" ref="I137:I144" si="25">CONCATENATE(C137,D137,E137,F137,G137,H137)</f>
        <v>000110</v>
      </c>
    </row>
    <row r="138" spans="1:9">
      <c r="B138">
        <v>2</v>
      </c>
      <c r="C138" s="1" t="str">
        <f>MID('CiDi SHEET'!$C$46,VLOOKUP($B138,PC_2,C$1+1,FALSE),1)</f>
        <v>0</v>
      </c>
      <c r="D138" s="1" t="str">
        <f>MID('CiDi SHEET'!$C$46,VLOOKUP($B138,PC_2,D$1+1,FALSE),1)</f>
        <v>0</v>
      </c>
      <c r="E138" s="1" t="str">
        <f>MID('CiDi SHEET'!$C$46,VLOOKUP($B138,PC_2,E$1+1,FALSE),1)</f>
        <v>0</v>
      </c>
      <c r="F138" s="1" t="str">
        <f>MID('CiDi SHEET'!$C$46,VLOOKUP($B138,PC_2,F$1+1,FALSE),1)</f>
        <v>0</v>
      </c>
      <c r="G138" s="1" t="str">
        <f>MID('CiDi SHEET'!$C$46,VLOOKUP($B138,PC_2,G$1+1,FALSE),1)</f>
        <v>0</v>
      </c>
      <c r="H138" s="1" t="str">
        <f>MID('CiDi SHEET'!$C$46,VLOOKUP($B138,PC_2,H$1+1,FALSE),1)</f>
        <v>1</v>
      </c>
      <c r="I138" t="str">
        <f t="shared" si="25"/>
        <v>000001</v>
      </c>
    </row>
    <row r="139" spans="1:9">
      <c r="B139">
        <v>3</v>
      </c>
      <c r="C139" s="1" t="str">
        <f>MID('CiDi SHEET'!$C$46,VLOOKUP($B139,PC_2,C$1+1,FALSE),1)</f>
        <v>1</v>
      </c>
      <c r="D139" s="1" t="str">
        <f>MID('CiDi SHEET'!$C$46,VLOOKUP($B139,PC_2,D$1+1,FALSE),1)</f>
        <v>1</v>
      </c>
      <c r="E139" s="1" t="str">
        <f>MID('CiDi SHEET'!$C$46,VLOOKUP($B139,PC_2,E$1+1,FALSE),1)</f>
        <v>0</v>
      </c>
      <c r="F139" s="1" t="str">
        <f>MID('CiDi SHEET'!$C$46,VLOOKUP($B139,PC_2,F$1+1,FALSE),1)</f>
        <v>0</v>
      </c>
      <c r="G139" s="1" t="str">
        <f>MID('CiDi SHEET'!$C$46,VLOOKUP($B139,PC_2,G$1+1,FALSE),1)</f>
        <v>0</v>
      </c>
      <c r="H139" s="1" t="str">
        <f>MID('CiDi SHEET'!$C$46,VLOOKUP($B139,PC_2,H$1+1,FALSE),1)</f>
        <v>1</v>
      </c>
      <c r="I139" t="str">
        <f t="shared" si="25"/>
        <v>110001</v>
      </c>
    </row>
    <row r="140" spans="1:9">
      <c r="B140">
        <v>4</v>
      </c>
      <c r="C140" s="1" t="str">
        <f>MID('CiDi SHEET'!$C$46,VLOOKUP($B140,PC_2,C$1+1,FALSE),1)</f>
        <v>0</v>
      </c>
      <c r="D140" s="1" t="str">
        <f>MID('CiDi SHEET'!$C$46,VLOOKUP($B140,PC_2,D$1+1,FALSE),1)</f>
        <v>1</v>
      </c>
      <c r="E140" s="1" t="str">
        <f>MID('CiDi SHEET'!$C$46,VLOOKUP($B140,PC_2,E$1+1,FALSE),1)</f>
        <v>1</v>
      </c>
      <c r="F140" s="1" t="str">
        <f>MID('CiDi SHEET'!$C$46,VLOOKUP($B140,PC_2,F$1+1,FALSE),1)</f>
        <v>1</v>
      </c>
      <c r="G140" s="1" t="str">
        <f>MID('CiDi SHEET'!$C$46,VLOOKUP($B140,PC_2,G$1+1,FALSE),1)</f>
        <v>0</v>
      </c>
      <c r="H140" s="1" t="str">
        <f>MID('CiDi SHEET'!$C$46,VLOOKUP($B140,PC_2,H$1+1,FALSE),1)</f>
        <v>1</v>
      </c>
      <c r="I140" t="str">
        <f t="shared" si="25"/>
        <v>011101</v>
      </c>
    </row>
    <row r="141" spans="1:9">
      <c r="B141">
        <v>5</v>
      </c>
      <c r="C141" s="1" t="str">
        <f>MID('CiDi SHEET'!$C$46,VLOOKUP($B141,PC_2,C$1+1,FALSE),1)</f>
        <v>0</v>
      </c>
      <c r="D141" s="1" t="str">
        <f>MID('CiDi SHEET'!$C$46,VLOOKUP($B141,PC_2,D$1+1,FALSE),1)</f>
        <v>1</v>
      </c>
      <c r="E141" s="1" t="str">
        <f>MID('CiDi SHEET'!$C$46,VLOOKUP($B141,PC_2,E$1+1,FALSE),1)</f>
        <v>1</v>
      </c>
      <c r="F141" s="1" t="str">
        <f>MID('CiDi SHEET'!$C$46,VLOOKUP($B141,PC_2,F$1+1,FALSE),1)</f>
        <v>1</v>
      </c>
      <c r="G141" s="1" t="str">
        <f>MID('CiDi SHEET'!$C$46,VLOOKUP($B141,PC_2,G$1+1,FALSE),1)</f>
        <v>0</v>
      </c>
      <c r="H141" s="1" t="str">
        <f>MID('CiDi SHEET'!$C$46,VLOOKUP($B141,PC_2,H$1+1,FALSE),1)</f>
        <v>1</v>
      </c>
      <c r="I141" t="str">
        <f t="shared" si="25"/>
        <v>011101</v>
      </c>
    </row>
    <row r="142" spans="1:9">
      <c r="B142">
        <v>6</v>
      </c>
      <c r="C142" s="1" t="str">
        <f>MID('CiDi SHEET'!$C$46,VLOOKUP($B142,PC_2,C$1+1,FALSE),1)</f>
        <v>0</v>
      </c>
      <c r="D142" s="1" t="str">
        <f>MID('CiDi SHEET'!$C$46,VLOOKUP($B142,PC_2,D$1+1,FALSE),1)</f>
        <v>1</v>
      </c>
      <c r="E142" s="1" t="str">
        <f>MID('CiDi SHEET'!$C$46,VLOOKUP($B142,PC_2,E$1+1,FALSE),1)</f>
        <v>1</v>
      </c>
      <c r="F142" s="1" t="str">
        <f>MID('CiDi SHEET'!$C$46,VLOOKUP($B142,PC_2,F$1+1,FALSE),1)</f>
        <v>1</v>
      </c>
      <c r="G142" s="1" t="str">
        <f>MID('CiDi SHEET'!$C$46,VLOOKUP($B142,PC_2,G$1+1,FALSE),1)</f>
        <v>0</v>
      </c>
      <c r="H142" s="1" t="str">
        <f>MID('CiDi SHEET'!$C$46,VLOOKUP($B142,PC_2,H$1+1,FALSE),1)</f>
        <v>0</v>
      </c>
      <c r="I142" t="str">
        <f t="shared" si="25"/>
        <v>011100</v>
      </c>
    </row>
    <row r="143" spans="1:9">
      <c r="B143">
        <v>7</v>
      </c>
      <c r="C143" s="1" t="str">
        <f>MID('CiDi SHEET'!$C$46,VLOOKUP($B143,PC_2,C$1+1,FALSE),1)</f>
        <v>0</v>
      </c>
      <c r="D143" s="1" t="str">
        <f>MID('CiDi SHEET'!$C$46,VLOOKUP($B143,PC_2,D$1+1,FALSE),1)</f>
        <v>1</v>
      </c>
      <c r="E143" s="1" t="str">
        <f>MID('CiDi SHEET'!$C$46,VLOOKUP($B143,PC_2,E$1+1,FALSE),1)</f>
        <v>1</v>
      </c>
      <c r="F143" s="1" t="str">
        <f>MID('CiDi SHEET'!$C$46,VLOOKUP($B143,PC_2,F$1+1,FALSE),1)</f>
        <v>0</v>
      </c>
      <c r="G143" s="1" t="str">
        <f>MID('CiDi SHEET'!$C$46,VLOOKUP($B143,PC_2,G$1+1,FALSE),1)</f>
        <v>0</v>
      </c>
      <c r="H143" s="1" t="str">
        <f>MID('CiDi SHEET'!$C$46,VLOOKUP($B143,PC_2,H$1+1,FALSE),1)</f>
        <v>1</v>
      </c>
      <c r="I143" t="str">
        <f t="shared" si="25"/>
        <v>011001</v>
      </c>
    </row>
    <row r="144" spans="1:9">
      <c r="B144">
        <v>8</v>
      </c>
      <c r="C144" s="1" t="str">
        <f>MID('CiDi SHEET'!$C$46,VLOOKUP($B144,PC_2,C$1+1,FALSE),1)</f>
        <v>1</v>
      </c>
      <c r="D144" s="1" t="str">
        <f>MID('CiDi SHEET'!$C$46,VLOOKUP($B144,PC_2,D$1+1,FALSE),1)</f>
        <v>0</v>
      </c>
      <c r="E144" s="1" t="str">
        <f>MID('CiDi SHEET'!$C$46,VLOOKUP($B144,PC_2,E$1+1,FALSE),1)</f>
        <v>1</v>
      </c>
      <c r="F144" s="1" t="str">
        <f>MID('CiDi SHEET'!$C$46,VLOOKUP($B144,PC_2,F$1+1,FALSE),1)</f>
        <v>1</v>
      </c>
      <c r="G144" s="1" t="str">
        <f>MID('CiDi SHEET'!$C$46,VLOOKUP($B144,PC_2,G$1+1,FALSE),1)</f>
        <v>0</v>
      </c>
      <c r="H144" s="1" t="str">
        <f>MID('CiDi SHEET'!$C$46,VLOOKUP($B144,PC_2,H$1+1,FALSE),1)</f>
        <v>1</v>
      </c>
      <c r="I144" t="str">
        <f t="shared" si="25"/>
        <v>101101</v>
      </c>
    </row>
    <row r="145" spans="1:2">
      <c r="A145" t="s">
        <v>141</v>
      </c>
      <c r="B145" t="str">
        <f>CONCATENATE(I137,I138,I139,I140,I141,I142,I143,I144)</f>
        <v>000110000001110001011101011101011100011001101101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50"/>
  <sheetViews>
    <sheetView topLeftCell="A19" workbookViewId="0">
      <selection activeCell="U34" sqref="U34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9">
      <c r="A1" t="s">
        <v>142</v>
      </c>
      <c r="B1" t="s">
        <v>13</v>
      </c>
      <c r="C1" t="s">
        <v>143</v>
      </c>
    </row>
    <row r="2" spans="1:9">
      <c r="A2" t="s">
        <v>144</v>
      </c>
      <c r="B2" t="s">
        <v>13</v>
      </c>
      <c r="C2" t="s">
        <v>145</v>
      </c>
    </row>
    <row r="4" spans="1:9">
      <c r="A4" t="s">
        <v>146</v>
      </c>
      <c r="B4" t="s">
        <v>13</v>
      </c>
      <c r="C4">
        <v>1</v>
      </c>
    </row>
    <row r="5" spans="1:9">
      <c r="A5" t="s">
        <v>126</v>
      </c>
      <c r="C5" t="str">
        <f>Kn!O2</f>
        <v>000110010100110011010000011100101101111010001100</v>
      </c>
    </row>
    <row r="6" spans="1:9">
      <c r="A6" t="s">
        <v>147</v>
      </c>
      <c r="C6" t="str">
        <f>'IO SHEET'!B24</f>
        <v>00011000110010100001100010101101</v>
      </c>
    </row>
    <row r="7" spans="1:9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9">
      <c r="A8" t="s">
        <v>148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0</v>
      </c>
      <c r="E8" s="1" t="str">
        <f t="shared" si="0"/>
        <v>0</v>
      </c>
      <c r="F8" s="1" t="str">
        <f t="shared" si="0"/>
        <v>0</v>
      </c>
      <c r="G8" s="1" t="str">
        <f t="shared" si="0"/>
        <v>1</v>
      </c>
      <c r="H8" s="1" t="str">
        <f t="shared" si="0"/>
        <v>1</v>
      </c>
      <c r="I8" s="6" t="str">
        <f>CONCATENATE(C8,D8,E8,F8,G8,H8)</f>
        <v>100011</v>
      </c>
    </row>
    <row r="9" spans="1:9">
      <c r="B9">
        <v>2</v>
      </c>
      <c r="C9" s="1" t="str">
        <f t="shared" si="0"/>
        <v>1</v>
      </c>
      <c r="D9" s="1" t="str">
        <f t="shared" si="0"/>
        <v>1</v>
      </c>
      <c r="E9" s="1" t="str">
        <f t="shared" si="0"/>
        <v>0</v>
      </c>
      <c r="F9" s="1" t="str">
        <f t="shared" si="0"/>
        <v>0</v>
      </c>
      <c r="G9" s="1" t="str">
        <f t="shared" si="0"/>
        <v>0</v>
      </c>
      <c r="H9" s="1" t="str">
        <f t="shared" si="0"/>
        <v>1</v>
      </c>
      <c r="I9" s="6" t="str">
        <f t="shared" ref="I9:I15" si="1">CONCATENATE(C9,D9,E9,F9,G9,H9)</f>
        <v>110001</v>
      </c>
    </row>
    <row r="10" spans="1:9">
      <c r="B10">
        <v>3</v>
      </c>
      <c r="C10" s="1" t="str">
        <f t="shared" si="0"/>
        <v>0</v>
      </c>
      <c r="D10" s="1" t="str">
        <f t="shared" si="0"/>
        <v>1</v>
      </c>
      <c r="E10" s="1" t="str">
        <f t="shared" si="0"/>
        <v>1</v>
      </c>
      <c r="F10" s="1" t="str">
        <f t="shared" si="0"/>
        <v>0</v>
      </c>
      <c r="G10" s="1" t="str">
        <f t="shared" si="0"/>
        <v>0</v>
      </c>
      <c r="H10" s="1" t="str">
        <f t="shared" si="0"/>
        <v>1</v>
      </c>
      <c r="I10" s="6" t="str">
        <f t="shared" si="1"/>
        <v>011001</v>
      </c>
    </row>
    <row r="11" spans="1:9">
      <c r="B11">
        <v>4</v>
      </c>
      <c r="C11" s="1" t="str">
        <f t="shared" si="0"/>
        <v>0</v>
      </c>
      <c r="D11" s="1" t="str">
        <f t="shared" si="0"/>
        <v>1</v>
      </c>
      <c r="E11" s="1" t="str">
        <f t="shared" si="0"/>
        <v>0</v>
      </c>
      <c r="F11" s="1" t="str">
        <f t="shared" si="0"/>
        <v>1</v>
      </c>
      <c r="G11" s="1" t="str">
        <f t="shared" si="0"/>
        <v>0</v>
      </c>
      <c r="H11" s="1" t="str">
        <f t="shared" si="0"/>
        <v>0</v>
      </c>
      <c r="I11" s="6" t="str">
        <f t="shared" si="1"/>
        <v>010100</v>
      </c>
    </row>
    <row r="12" spans="1:9">
      <c r="B12">
        <v>5</v>
      </c>
      <c r="C12" s="1" t="str">
        <f t="shared" si="0"/>
        <v>0</v>
      </c>
      <c r="D12" s="1" t="str">
        <f t="shared" si="0"/>
        <v>0</v>
      </c>
      <c r="E12" s="1" t="str">
        <f t="shared" si="0"/>
        <v>0</v>
      </c>
      <c r="F12" s="1" t="str">
        <f t="shared" si="0"/>
        <v>0</v>
      </c>
      <c r="G12" s="1" t="str">
        <f t="shared" si="0"/>
        <v>1</v>
      </c>
      <c r="H12" s="1" t="str">
        <f t="shared" si="0"/>
        <v>1</v>
      </c>
      <c r="I12" s="6" t="str">
        <f t="shared" si="1"/>
        <v>000011</v>
      </c>
    </row>
    <row r="13" spans="1:9">
      <c r="B13">
        <v>6</v>
      </c>
      <c r="C13" s="1" t="str">
        <f t="shared" si="0"/>
        <v>1</v>
      </c>
      <c r="D13" s="1" t="str">
        <f t="shared" si="0"/>
        <v>1</v>
      </c>
      <c r="E13" s="1" t="str">
        <f t="shared" si="0"/>
        <v>0</v>
      </c>
      <c r="F13" s="1" t="str">
        <f t="shared" si="0"/>
        <v>0</v>
      </c>
      <c r="G13" s="1" t="str">
        <f t="shared" si="0"/>
        <v>0</v>
      </c>
      <c r="H13" s="1" t="str">
        <f t="shared" si="0"/>
        <v>1</v>
      </c>
      <c r="I13" s="6" t="str">
        <f t="shared" si="1"/>
        <v>110001</v>
      </c>
    </row>
    <row r="14" spans="1:9">
      <c r="B14">
        <v>7</v>
      </c>
      <c r="C14" s="1" t="str">
        <f t="shared" si="0"/>
        <v>0</v>
      </c>
      <c r="D14" s="1" t="str">
        <f t="shared" si="0"/>
        <v>1</v>
      </c>
      <c r="E14" s="1" t="str">
        <f t="shared" si="0"/>
        <v>0</v>
      </c>
      <c r="F14" s="1" t="str">
        <f t="shared" si="0"/>
        <v>1</v>
      </c>
      <c r="G14" s="1" t="str">
        <f t="shared" si="0"/>
        <v>0</v>
      </c>
      <c r="H14" s="1" t="str">
        <f t="shared" si="0"/>
        <v>1</v>
      </c>
      <c r="I14" s="6" t="str">
        <f t="shared" si="1"/>
        <v>010101</v>
      </c>
    </row>
    <row r="15" spans="1:9">
      <c r="B15">
        <v>8</v>
      </c>
      <c r="C15" s="1" t="str">
        <f t="shared" si="0"/>
        <v>0</v>
      </c>
      <c r="D15" s="1" t="str">
        <f t="shared" si="0"/>
        <v>1</v>
      </c>
      <c r="E15" s="1" t="str">
        <f t="shared" si="0"/>
        <v>1</v>
      </c>
      <c r="F15" s="1" t="str">
        <f t="shared" si="0"/>
        <v>0</v>
      </c>
      <c r="G15" s="1" t="str">
        <f t="shared" si="0"/>
        <v>1</v>
      </c>
      <c r="H15" s="1" t="str">
        <f t="shared" si="0"/>
        <v>0</v>
      </c>
      <c r="I15" s="6" t="str">
        <f t="shared" si="1"/>
        <v>011010</v>
      </c>
    </row>
    <row r="16" spans="1:9">
      <c r="A16" t="s">
        <v>148</v>
      </c>
      <c r="B16" t="str">
        <f>CONCATENATE(I8,I9,I10,I11,I12,I13,I14,I15)</f>
        <v>100011110001011001010100000011110001010101011010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">
        <v>126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0</v>
      </c>
      <c r="E19" t="str">
        <f t="shared" si="2"/>
        <v>1</v>
      </c>
      <c r="F19" t="str">
        <f t="shared" si="2"/>
        <v>1</v>
      </c>
      <c r="G19" t="str">
        <f t="shared" si="2"/>
        <v>0</v>
      </c>
      <c r="H19" t="str">
        <f t="shared" si="2"/>
        <v>0</v>
      </c>
      <c r="I19" t="str">
        <f t="shared" si="2"/>
        <v>1</v>
      </c>
      <c r="J19" t="str">
        <f t="shared" si="2"/>
        <v>0</v>
      </c>
      <c r="K19" t="str">
        <f t="shared" si="2"/>
        <v>1</v>
      </c>
      <c r="L19" t="str">
        <f t="shared" si="2"/>
        <v>0</v>
      </c>
      <c r="M19" t="str">
        <f t="shared" si="2"/>
        <v>0</v>
      </c>
      <c r="N19" t="str">
        <f t="shared" si="2"/>
        <v>1</v>
      </c>
      <c r="O19" t="str">
        <f t="shared" si="2"/>
        <v>1</v>
      </c>
      <c r="P19" t="str">
        <f t="shared" si="2"/>
        <v>0</v>
      </c>
      <c r="Q19" t="str">
        <f t="shared" si="2"/>
        <v>0</v>
      </c>
      <c r="R19" t="str">
        <f t="shared" si="2"/>
        <v>1</v>
      </c>
      <c r="S19" t="str">
        <f t="shared" si="2"/>
        <v>1</v>
      </c>
      <c r="T19" t="str">
        <f t="shared" si="2"/>
        <v>0</v>
      </c>
      <c r="U19" t="str">
        <f t="shared" si="2"/>
        <v>1</v>
      </c>
      <c r="V19" t="str">
        <f t="shared" si="2"/>
        <v>0</v>
      </c>
      <c r="W19" t="str">
        <f t="shared" si="2"/>
        <v>0</v>
      </c>
      <c r="X19" t="str">
        <f t="shared" si="2"/>
        <v>0</v>
      </c>
      <c r="Y19" t="str">
        <f t="shared" si="2"/>
        <v>0</v>
      </c>
      <c r="Z19" t="str">
        <f t="shared" si="2"/>
        <v>0</v>
      </c>
      <c r="AA19" t="str">
        <f t="shared" si="2"/>
        <v>1</v>
      </c>
      <c r="AB19" t="str">
        <f t="shared" si="2"/>
        <v>1</v>
      </c>
      <c r="AC19" t="str">
        <f t="shared" si="2"/>
        <v>1</v>
      </c>
      <c r="AD19" t="str">
        <f t="shared" si="2"/>
        <v>0</v>
      </c>
      <c r="AE19" t="str">
        <f t="shared" si="2"/>
        <v>0</v>
      </c>
      <c r="AF19" t="str">
        <f t="shared" si="2"/>
        <v>1</v>
      </c>
      <c r="AG19" t="str">
        <f t="shared" si="2"/>
        <v>0</v>
      </c>
      <c r="AH19" t="str">
        <f t="shared" si="2"/>
        <v>1</v>
      </c>
      <c r="AI19" t="str">
        <f t="shared" si="2"/>
        <v>1</v>
      </c>
      <c r="AJ19" t="str">
        <f t="shared" si="2"/>
        <v>0</v>
      </c>
      <c r="AK19" t="str">
        <f t="shared" si="2"/>
        <v>1</v>
      </c>
      <c r="AL19" t="str">
        <f t="shared" si="2"/>
        <v>1</v>
      </c>
      <c r="AM19" t="str">
        <f t="shared" si="2"/>
        <v>1</v>
      </c>
      <c r="AN19" t="str">
        <f t="shared" si="2"/>
        <v>1</v>
      </c>
      <c r="AO19" t="str">
        <f t="shared" si="2"/>
        <v>0</v>
      </c>
      <c r="AP19" t="str">
        <f t="shared" si="2"/>
        <v>1</v>
      </c>
      <c r="AQ19" t="str">
        <f t="shared" si="2"/>
        <v>0</v>
      </c>
      <c r="AR19" t="str">
        <f t="shared" si="2"/>
        <v>0</v>
      </c>
      <c r="AS19" t="str">
        <f t="shared" si="2"/>
        <v>0</v>
      </c>
      <c r="AT19" t="str">
        <f t="shared" si="2"/>
        <v>1</v>
      </c>
      <c r="AU19" t="str">
        <f t="shared" si="2"/>
        <v>1</v>
      </c>
      <c r="AV19" t="str">
        <f t="shared" si="2"/>
        <v>0</v>
      </c>
      <c r="AW19" t="str">
        <f t="shared" si="2"/>
        <v>0</v>
      </c>
    </row>
    <row r="20" spans="1:49">
      <c r="A20" t="s">
        <v>148</v>
      </c>
      <c r="B20" t="str">
        <f>MID($B$16,B18,1)</f>
        <v>1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0</v>
      </c>
      <c r="F20" t="str">
        <f t="shared" si="3"/>
        <v>1</v>
      </c>
      <c r="G20" t="str">
        <f t="shared" si="3"/>
        <v>1</v>
      </c>
      <c r="H20" t="str">
        <f t="shared" si="3"/>
        <v>1</v>
      </c>
      <c r="I20" t="str">
        <f t="shared" si="3"/>
        <v>1</v>
      </c>
      <c r="J20" t="str">
        <f t="shared" si="3"/>
        <v>0</v>
      </c>
      <c r="K20" t="str">
        <f t="shared" si="3"/>
        <v>0</v>
      </c>
      <c r="L20" t="str">
        <f t="shared" si="3"/>
        <v>0</v>
      </c>
      <c r="M20" t="str">
        <f t="shared" si="3"/>
        <v>1</v>
      </c>
      <c r="N20" t="str">
        <f t="shared" si="3"/>
        <v>0</v>
      </c>
      <c r="O20" t="str">
        <f t="shared" si="3"/>
        <v>1</v>
      </c>
      <c r="P20" t="str">
        <f t="shared" si="3"/>
        <v>1</v>
      </c>
      <c r="Q20" t="str">
        <f t="shared" si="3"/>
        <v>0</v>
      </c>
      <c r="R20" t="str">
        <f t="shared" si="3"/>
        <v>0</v>
      </c>
      <c r="S20" t="str">
        <f t="shared" si="3"/>
        <v>1</v>
      </c>
      <c r="T20" t="str">
        <f t="shared" si="3"/>
        <v>0</v>
      </c>
      <c r="U20" t="str">
        <f t="shared" si="3"/>
        <v>1</v>
      </c>
      <c r="V20" t="str">
        <f t="shared" si="3"/>
        <v>0</v>
      </c>
      <c r="W20" t="str">
        <f t="shared" si="3"/>
        <v>1</v>
      </c>
      <c r="X20" t="str">
        <f t="shared" si="3"/>
        <v>0</v>
      </c>
      <c r="Y20" t="str">
        <f t="shared" si="3"/>
        <v>0</v>
      </c>
      <c r="Z20" t="str">
        <f t="shared" si="3"/>
        <v>0</v>
      </c>
      <c r="AA20" t="str">
        <f t="shared" si="3"/>
        <v>0</v>
      </c>
      <c r="AB20" t="str">
        <f t="shared" si="3"/>
        <v>0</v>
      </c>
      <c r="AC20" t="str">
        <f t="shared" si="3"/>
        <v>0</v>
      </c>
      <c r="AD20" t="str">
        <f t="shared" si="3"/>
        <v>1</v>
      </c>
      <c r="AE20" t="str">
        <f t="shared" si="3"/>
        <v>1</v>
      </c>
      <c r="AF20" t="str">
        <f t="shared" si="3"/>
        <v>1</v>
      </c>
      <c r="AG20" t="str">
        <f t="shared" si="3"/>
        <v>1</v>
      </c>
      <c r="AH20" t="str">
        <f t="shared" si="3"/>
        <v>0</v>
      </c>
      <c r="AI20" t="str">
        <f t="shared" si="3"/>
        <v>0</v>
      </c>
      <c r="AJ20" t="str">
        <f t="shared" si="3"/>
        <v>0</v>
      </c>
      <c r="AK20" t="str">
        <f t="shared" si="3"/>
        <v>1</v>
      </c>
      <c r="AL20" t="str">
        <f t="shared" si="3"/>
        <v>0</v>
      </c>
      <c r="AM20" t="str">
        <f t="shared" si="3"/>
        <v>1</v>
      </c>
      <c r="AN20" t="str">
        <f t="shared" si="3"/>
        <v>0</v>
      </c>
      <c r="AO20" t="str">
        <f t="shared" si="3"/>
        <v>1</v>
      </c>
      <c r="AP20" t="str">
        <f t="shared" si="3"/>
        <v>0</v>
      </c>
      <c r="AQ20" t="str">
        <f t="shared" si="3"/>
        <v>1</v>
      </c>
      <c r="AR20" t="str">
        <f t="shared" si="3"/>
        <v>0</v>
      </c>
      <c r="AS20" t="str">
        <f t="shared" si="3"/>
        <v>1</v>
      </c>
      <c r="AT20" t="str">
        <f t="shared" si="3"/>
        <v>1</v>
      </c>
      <c r="AU20" t="str">
        <f t="shared" si="3"/>
        <v>0</v>
      </c>
      <c r="AV20" t="str">
        <f t="shared" si="3"/>
        <v>1</v>
      </c>
      <c r="AW20" t="str">
        <f t="shared" si="3"/>
        <v>0</v>
      </c>
    </row>
    <row r="21" spans="1:49">
      <c r="A21" t="s">
        <v>150</v>
      </c>
      <c r="B21" s="1">
        <f>IF(B19=B20,0,1)</f>
        <v>1</v>
      </c>
      <c r="C21" s="1">
        <f t="shared" ref="C21:AW21" si="4">IF(C19=C20,0,1)</f>
        <v>0</v>
      </c>
      <c r="D21" s="1">
        <f t="shared" si="4"/>
        <v>0</v>
      </c>
      <c r="E21" s="1">
        <f t="shared" si="4"/>
        <v>1</v>
      </c>
      <c r="F21" s="1">
        <f t="shared" si="4"/>
        <v>0</v>
      </c>
      <c r="G21" s="1">
        <f t="shared" si="4"/>
        <v>1</v>
      </c>
      <c r="H21" s="1">
        <f t="shared" si="4"/>
        <v>1</v>
      </c>
      <c r="I21" s="1">
        <f t="shared" si="4"/>
        <v>0</v>
      </c>
      <c r="J21" s="1">
        <f t="shared" si="4"/>
        <v>0</v>
      </c>
      <c r="K21" s="1">
        <f t="shared" si="4"/>
        <v>1</v>
      </c>
      <c r="L21" s="1">
        <f t="shared" si="4"/>
        <v>0</v>
      </c>
      <c r="M21" s="1">
        <f t="shared" si="4"/>
        <v>1</v>
      </c>
      <c r="N21" s="1">
        <f t="shared" si="4"/>
        <v>1</v>
      </c>
      <c r="O21" s="1">
        <f t="shared" si="4"/>
        <v>0</v>
      </c>
      <c r="P21" s="1">
        <f t="shared" si="4"/>
        <v>1</v>
      </c>
      <c r="Q21" s="1">
        <f t="shared" si="4"/>
        <v>0</v>
      </c>
      <c r="R21" s="1">
        <f t="shared" si="4"/>
        <v>1</v>
      </c>
      <c r="S21" s="1">
        <f t="shared" si="4"/>
        <v>0</v>
      </c>
      <c r="T21" s="1">
        <f t="shared" si="4"/>
        <v>0</v>
      </c>
      <c r="U21" s="1">
        <f t="shared" si="4"/>
        <v>0</v>
      </c>
      <c r="V21" s="1">
        <f t="shared" si="4"/>
        <v>0</v>
      </c>
      <c r="W21" s="1">
        <f t="shared" si="4"/>
        <v>1</v>
      </c>
      <c r="X21" s="1">
        <f t="shared" si="4"/>
        <v>0</v>
      </c>
      <c r="Y21" s="1">
        <f t="shared" si="4"/>
        <v>0</v>
      </c>
      <c r="Z21" s="1">
        <f t="shared" si="4"/>
        <v>0</v>
      </c>
      <c r="AA21" s="1">
        <f t="shared" si="4"/>
        <v>1</v>
      </c>
      <c r="AB21" s="1">
        <f t="shared" si="4"/>
        <v>1</v>
      </c>
      <c r="AC21" s="1">
        <f t="shared" si="4"/>
        <v>1</v>
      </c>
      <c r="AD21" s="1">
        <f t="shared" si="4"/>
        <v>1</v>
      </c>
      <c r="AE21" s="1">
        <f t="shared" si="4"/>
        <v>1</v>
      </c>
      <c r="AF21" s="1">
        <f t="shared" si="4"/>
        <v>0</v>
      </c>
      <c r="AG21" s="1">
        <f t="shared" si="4"/>
        <v>1</v>
      </c>
      <c r="AH21" s="1">
        <f t="shared" si="4"/>
        <v>1</v>
      </c>
      <c r="AI21" s="1">
        <f t="shared" si="4"/>
        <v>1</v>
      </c>
      <c r="AJ21" s="1">
        <f t="shared" si="4"/>
        <v>0</v>
      </c>
      <c r="AK21" s="1">
        <f t="shared" si="4"/>
        <v>0</v>
      </c>
      <c r="AL21" s="1">
        <f t="shared" si="4"/>
        <v>1</v>
      </c>
      <c r="AM21" s="1">
        <f t="shared" si="4"/>
        <v>0</v>
      </c>
      <c r="AN21" s="1">
        <f t="shared" si="4"/>
        <v>1</v>
      </c>
      <c r="AO21" s="1">
        <f t="shared" si="4"/>
        <v>1</v>
      </c>
      <c r="AP21" s="1">
        <f t="shared" si="4"/>
        <v>1</v>
      </c>
      <c r="AQ21" s="1">
        <f t="shared" si="4"/>
        <v>1</v>
      </c>
      <c r="AR21" s="1">
        <f t="shared" si="4"/>
        <v>0</v>
      </c>
      <c r="AS21" s="1">
        <f t="shared" si="4"/>
        <v>1</v>
      </c>
      <c r="AT21" s="1">
        <f t="shared" si="4"/>
        <v>0</v>
      </c>
      <c r="AU21" s="1">
        <f t="shared" si="4"/>
        <v>1</v>
      </c>
      <c r="AV21" s="1">
        <f t="shared" si="4"/>
        <v>1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1</v>
      </c>
      <c r="C23">
        <f t="shared" ref="C23:G23" si="5">C21</f>
        <v>0</v>
      </c>
      <c r="D23">
        <f t="shared" si="5"/>
        <v>0</v>
      </c>
      <c r="E23">
        <f t="shared" si="5"/>
        <v>1</v>
      </c>
      <c r="F23">
        <f t="shared" si="5"/>
        <v>0</v>
      </c>
      <c r="G23">
        <f t="shared" si="5"/>
        <v>1</v>
      </c>
      <c r="H23" t="str">
        <f>CONCATENATE(B23,G23)</f>
        <v>11</v>
      </c>
      <c r="I23" t="str">
        <f>CONCATENATE(C23,D23,E23,F23)</f>
        <v>0010</v>
      </c>
      <c r="J23">
        <f>BIN2DEC(H23)</f>
        <v>3</v>
      </c>
      <c r="K23">
        <f>BIN2DEC(I23)</f>
        <v>2</v>
      </c>
      <c r="L23">
        <f>VLOOKUP(J23,S1_BOX,K23+2,FALSE)</f>
        <v>8</v>
      </c>
      <c r="M23" t="str">
        <f>DEC2BIN(L23,4)</f>
        <v>1000</v>
      </c>
    </row>
    <row r="24" spans="1:49">
      <c r="A24" t="s">
        <v>155</v>
      </c>
      <c r="B24">
        <f>H21</f>
        <v>1</v>
      </c>
      <c r="C24">
        <f t="shared" ref="C24:G24" si="6">I21</f>
        <v>0</v>
      </c>
      <c r="D24">
        <f t="shared" si="6"/>
        <v>0</v>
      </c>
      <c r="E24">
        <f t="shared" si="6"/>
        <v>1</v>
      </c>
      <c r="F24">
        <f t="shared" si="6"/>
        <v>0</v>
      </c>
      <c r="G24">
        <f t="shared" si="6"/>
        <v>1</v>
      </c>
      <c r="H24" t="str">
        <f t="shared" ref="H24:H30" si="7">CONCATENATE(B24,G24)</f>
        <v>11</v>
      </c>
      <c r="I24" t="str">
        <f t="shared" ref="I24:I30" si="8">CONCATENATE(C24,D24,E24,F24)</f>
        <v>0010</v>
      </c>
      <c r="J24">
        <f t="shared" ref="J24:J30" si="9">BIN2DEC(H24)</f>
        <v>3</v>
      </c>
      <c r="K24">
        <f t="shared" ref="K24:K30" si="10">BIN2DEC(I24)</f>
        <v>2</v>
      </c>
      <c r="L24">
        <f>VLOOKUP(J24,S2_BOX,K24+2,FALSE)</f>
        <v>10</v>
      </c>
      <c r="M24" t="str">
        <f t="shared" ref="M24:M30" si="11">DEC2BIN(L24,4)</f>
        <v>1010</v>
      </c>
    </row>
    <row r="25" spans="1:49">
      <c r="A25" t="s">
        <v>156</v>
      </c>
      <c r="B25">
        <f>N21</f>
        <v>1</v>
      </c>
      <c r="C25">
        <f t="shared" ref="C25:G25" si="12">O21</f>
        <v>0</v>
      </c>
      <c r="D25">
        <f t="shared" si="12"/>
        <v>1</v>
      </c>
      <c r="E25">
        <f t="shared" si="12"/>
        <v>0</v>
      </c>
      <c r="F25">
        <f t="shared" si="12"/>
        <v>1</v>
      </c>
      <c r="G25">
        <f t="shared" si="12"/>
        <v>0</v>
      </c>
      <c r="H25" t="str">
        <f t="shared" si="7"/>
        <v>10</v>
      </c>
      <c r="I25" t="str">
        <f t="shared" si="8"/>
        <v>0101</v>
      </c>
      <c r="J25">
        <f t="shared" si="9"/>
        <v>2</v>
      </c>
      <c r="K25">
        <f t="shared" si="10"/>
        <v>5</v>
      </c>
      <c r="L25">
        <f>VLOOKUP(J25,S3_BOX,K25+2,FALSE)</f>
        <v>15</v>
      </c>
      <c r="M25" t="str">
        <f t="shared" si="11"/>
        <v>1111</v>
      </c>
    </row>
    <row r="26" spans="1:49">
      <c r="A26" t="s">
        <v>157</v>
      </c>
      <c r="B26">
        <f>T21</f>
        <v>0</v>
      </c>
      <c r="C26">
        <f t="shared" ref="C26:G26" si="13">U21</f>
        <v>0</v>
      </c>
      <c r="D26">
        <f t="shared" si="13"/>
        <v>0</v>
      </c>
      <c r="E26">
        <f t="shared" si="13"/>
        <v>1</v>
      </c>
      <c r="F26">
        <f t="shared" si="13"/>
        <v>0</v>
      </c>
      <c r="G26">
        <f t="shared" si="13"/>
        <v>0</v>
      </c>
      <c r="H26" t="str">
        <f t="shared" si="7"/>
        <v>00</v>
      </c>
      <c r="I26" t="str">
        <f t="shared" si="8"/>
        <v>0010</v>
      </c>
      <c r="J26">
        <f t="shared" si="9"/>
        <v>0</v>
      </c>
      <c r="K26">
        <f t="shared" si="10"/>
        <v>2</v>
      </c>
      <c r="L26">
        <f>VLOOKUP(J26,S4_BOX,K26+2,FALSE)</f>
        <v>14</v>
      </c>
      <c r="M26" t="str">
        <f t="shared" si="11"/>
        <v>1110</v>
      </c>
    </row>
    <row r="27" spans="1:49">
      <c r="A27" t="s">
        <v>158</v>
      </c>
      <c r="B27">
        <f>Z21</f>
        <v>0</v>
      </c>
      <c r="C27">
        <f t="shared" ref="C27:G27" si="14">AA21</f>
        <v>1</v>
      </c>
      <c r="D27">
        <f t="shared" si="14"/>
        <v>1</v>
      </c>
      <c r="E27">
        <f t="shared" si="14"/>
        <v>1</v>
      </c>
      <c r="F27">
        <f t="shared" si="14"/>
        <v>1</v>
      </c>
      <c r="G27">
        <f t="shared" si="14"/>
        <v>1</v>
      </c>
      <c r="H27" t="str">
        <f t="shared" si="7"/>
        <v>01</v>
      </c>
      <c r="I27" t="str">
        <f t="shared" si="8"/>
        <v>1111</v>
      </c>
      <c r="J27">
        <f t="shared" si="9"/>
        <v>1</v>
      </c>
      <c r="K27">
        <f t="shared" si="10"/>
        <v>15</v>
      </c>
      <c r="L27">
        <f>VLOOKUP(J27,S5_BOX,K27+2,FALSE)</f>
        <v>6</v>
      </c>
      <c r="M27" t="str">
        <f t="shared" si="11"/>
        <v>0110</v>
      </c>
    </row>
    <row r="28" spans="1:49">
      <c r="A28" t="s">
        <v>159</v>
      </c>
      <c r="B28">
        <f>AF21</f>
        <v>0</v>
      </c>
      <c r="C28">
        <f t="shared" ref="C28:G28" si="15">AG21</f>
        <v>1</v>
      </c>
      <c r="D28">
        <f t="shared" si="15"/>
        <v>1</v>
      </c>
      <c r="E28">
        <f t="shared" si="15"/>
        <v>1</v>
      </c>
      <c r="F28">
        <f t="shared" si="15"/>
        <v>0</v>
      </c>
      <c r="G28">
        <f t="shared" si="15"/>
        <v>0</v>
      </c>
      <c r="H28" t="str">
        <f t="shared" si="7"/>
        <v>00</v>
      </c>
      <c r="I28" t="str">
        <f t="shared" si="8"/>
        <v>1110</v>
      </c>
      <c r="J28">
        <f t="shared" si="9"/>
        <v>0</v>
      </c>
      <c r="K28">
        <f t="shared" si="10"/>
        <v>14</v>
      </c>
      <c r="L28">
        <f>VLOOKUP(J28,S6_BOX,K28+2,FALSE)</f>
        <v>5</v>
      </c>
      <c r="M28" t="str">
        <f t="shared" si="11"/>
        <v>0101</v>
      </c>
    </row>
    <row r="29" spans="1:49">
      <c r="A29" t="s">
        <v>160</v>
      </c>
      <c r="B29">
        <f>AL21</f>
        <v>1</v>
      </c>
      <c r="C29">
        <f t="shared" ref="C29:G29" si="16">AM21</f>
        <v>0</v>
      </c>
      <c r="D29">
        <f t="shared" si="16"/>
        <v>1</v>
      </c>
      <c r="E29">
        <f t="shared" si="16"/>
        <v>1</v>
      </c>
      <c r="F29">
        <f t="shared" si="16"/>
        <v>1</v>
      </c>
      <c r="G29">
        <f t="shared" si="16"/>
        <v>1</v>
      </c>
      <c r="H29" t="str">
        <f t="shared" si="7"/>
        <v>11</v>
      </c>
      <c r="I29" t="str">
        <f t="shared" si="8"/>
        <v>0111</v>
      </c>
      <c r="J29">
        <f t="shared" si="9"/>
        <v>3</v>
      </c>
      <c r="K29">
        <f t="shared" si="10"/>
        <v>7</v>
      </c>
      <c r="L29">
        <f>VLOOKUP(J29,S7_BOX,K29+2,FALSE)</f>
        <v>7</v>
      </c>
      <c r="M29" t="str">
        <f t="shared" si="11"/>
        <v>0111</v>
      </c>
    </row>
    <row r="30" spans="1:49">
      <c r="A30" t="s">
        <v>161</v>
      </c>
      <c r="B30">
        <f>AR21</f>
        <v>0</v>
      </c>
      <c r="C30">
        <f t="shared" ref="C30:G30" si="17">AS21</f>
        <v>1</v>
      </c>
      <c r="D30">
        <f t="shared" si="17"/>
        <v>0</v>
      </c>
      <c r="E30">
        <f t="shared" si="17"/>
        <v>1</v>
      </c>
      <c r="F30">
        <f t="shared" si="17"/>
        <v>1</v>
      </c>
      <c r="G30">
        <f t="shared" si="17"/>
        <v>0</v>
      </c>
      <c r="H30" t="str">
        <f t="shared" si="7"/>
        <v>00</v>
      </c>
      <c r="I30" t="str">
        <f t="shared" si="8"/>
        <v>1011</v>
      </c>
      <c r="J30">
        <f t="shared" si="9"/>
        <v>0</v>
      </c>
      <c r="K30">
        <f t="shared" si="10"/>
        <v>11</v>
      </c>
      <c r="L30">
        <f>VLOOKUP(J30,S8_BOX,K30+2,FALSE)</f>
        <v>14</v>
      </c>
      <c r="M30" t="str">
        <f t="shared" si="11"/>
        <v>1110</v>
      </c>
    </row>
    <row r="31" spans="1:49">
      <c r="A31" t="s">
        <v>162</v>
      </c>
      <c r="B31" t="str">
        <f>CONCATENATE(M23,M24,M25,M26,M27,M28,M29,M30)</f>
        <v>10001010111111100110010101111110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8">MID($B$31,VLOOKUP($B34,P,C$33+1,FALSE),1)</f>
        <v>0</v>
      </c>
      <c r="D34" t="str">
        <f t="shared" si="18"/>
        <v>1</v>
      </c>
      <c r="E34" t="str">
        <f t="shared" si="18"/>
        <v>0</v>
      </c>
      <c r="F34" t="str">
        <f t="shared" si="18"/>
        <v>0</v>
      </c>
      <c r="G34" t="str">
        <f>CONCATENATE(C34,D34,E34,F34)</f>
        <v>0100</v>
      </c>
    </row>
    <row r="35" spans="1:33">
      <c r="B35">
        <v>2</v>
      </c>
      <c r="C35" t="str">
        <f t="shared" si="18"/>
        <v>1</v>
      </c>
      <c r="D35" t="str">
        <f t="shared" si="18"/>
        <v>1</v>
      </c>
      <c r="E35" t="str">
        <f t="shared" si="18"/>
        <v>1</v>
      </c>
      <c r="F35" t="str">
        <f t="shared" si="18"/>
        <v>0</v>
      </c>
      <c r="G35" t="str">
        <f t="shared" ref="G35:G41" si="19">CONCATENATE(C35,D35,E35,F35)</f>
        <v>1110</v>
      </c>
    </row>
    <row r="36" spans="1:33">
      <c r="B36">
        <v>3</v>
      </c>
      <c r="C36" t="str">
        <f t="shared" si="18"/>
        <v>1</v>
      </c>
      <c r="D36" t="str">
        <f t="shared" si="18"/>
        <v>1</v>
      </c>
      <c r="E36" t="str">
        <f t="shared" si="18"/>
        <v>0</v>
      </c>
      <c r="F36" t="str">
        <f t="shared" si="18"/>
        <v>1</v>
      </c>
      <c r="G36" t="str">
        <f t="shared" si="19"/>
        <v>1101</v>
      </c>
    </row>
    <row r="37" spans="1:33">
      <c r="B37">
        <v>4</v>
      </c>
      <c r="C37" t="str">
        <f t="shared" si="18"/>
        <v>1</v>
      </c>
      <c r="D37" t="str">
        <f t="shared" si="18"/>
        <v>1</v>
      </c>
      <c r="E37" t="str">
        <f t="shared" si="18"/>
        <v>1</v>
      </c>
      <c r="F37" t="str">
        <f t="shared" si="18"/>
        <v>1</v>
      </c>
      <c r="G37" t="str">
        <f t="shared" si="19"/>
        <v>1111</v>
      </c>
    </row>
    <row r="38" spans="1:33">
      <c r="B38">
        <v>5</v>
      </c>
      <c r="C38" t="str">
        <f t="shared" si="18"/>
        <v>0</v>
      </c>
      <c r="D38" t="str">
        <f t="shared" si="18"/>
        <v>0</v>
      </c>
      <c r="E38" t="str">
        <f t="shared" si="18"/>
        <v>1</v>
      </c>
      <c r="F38" t="str">
        <f t="shared" si="18"/>
        <v>1</v>
      </c>
      <c r="G38" t="str">
        <f t="shared" si="19"/>
        <v>0011</v>
      </c>
    </row>
    <row r="39" spans="1:33">
      <c r="B39">
        <v>6</v>
      </c>
      <c r="C39" t="str">
        <f t="shared" si="18"/>
        <v>0</v>
      </c>
      <c r="D39" t="str">
        <f t="shared" si="18"/>
        <v>1</v>
      </c>
      <c r="E39" t="str">
        <f t="shared" si="18"/>
        <v>0</v>
      </c>
      <c r="F39" t="str">
        <f t="shared" si="18"/>
        <v>1</v>
      </c>
      <c r="G39" t="str">
        <f t="shared" si="19"/>
        <v>0101</v>
      </c>
    </row>
    <row r="40" spans="1:33">
      <c r="B40">
        <v>7</v>
      </c>
      <c r="C40" t="str">
        <f t="shared" si="18"/>
        <v>1</v>
      </c>
      <c r="D40" t="str">
        <f t="shared" si="18"/>
        <v>1</v>
      </c>
      <c r="E40" t="str">
        <f t="shared" si="18"/>
        <v>1</v>
      </c>
      <c r="F40" t="str">
        <f t="shared" si="18"/>
        <v>0</v>
      </c>
      <c r="G40" t="str">
        <f t="shared" si="19"/>
        <v>1110</v>
      </c>
    </row>
    <row r="41" spans="1:33">
      <c r="B41">
        <v>8</v>
      </c>
      <c r="C41" t="str">
        <f t="shared" si="18"/>
        <v>1</v>
      </c>
      <c r="D41" t="str">
        <f t="shared" si="18"/>
        <v>1</v>
      </c>
      <c r="E41" t="str">
        <f t="shared" si="18"/>
        <v>0</v>
      </c>
      <c r="F41" t="str">
        <f t="shared" si="18"/>
        <v>0</v>
      </c>
      <c r="G41" t="str">
        <f t="shared" si="19"/>
        <v>1100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01001110110111110011010111101100</v>
      </c>
    </row>
    <row r="44" spans="1:33">
      <c r="B44" t="str">
        <f>MID($B$43,B42,1)</f>
        <v>0</v>
      </c>
      <c r="C44" t="str">
        <f t="shared" ref="C44:AG44" si="20">MID($B$43,C42,1)</f>
        <v>1</v>
      </c>
      <c r="D44" t="str">
        <f t="shared" si="20"/>
        <v>0</v>
      </c>
      <c r="E44" t="str">
        <f t="shared" si="20"/>
        <v>0</v>
      </c>
      <c r="F44" t="str">
        <f t="shared" si="20"/>
        <v>1</v>
      </c>
      <c r="G44" t="str">
        <f t="shared" si="20"/>
        <v>1</v>
      </c>
      <c r="H44" t="str">
        <f t="shared" si="20"/>
        <v>1</v>
      </c>
      <c r="I44" t="str">
        <f t="shared" si="20"/>
        <v>0</v>
      </c>
      <c r="J44" t="str">
        <f t="shared" si="20"/>
        <v>1</v>
      </c>
      <c r="K44" t="str">
        <f t="shared" si="20"/>
        <v>1</v>
      </c>
      <c r="L44" t="str">
        <f t="shared" si="20"/>
        <v>0</v>
      </c>
      <c r="M44" t="str">
        <f t="shared" si="20"/>
        <v>1</v>
      </c>
      <c r="N44" t="str">
        <f t="shared" si="20"/>
        <v>1</v>
      </c>
      <c r="O44" t="str">
        <f t="shared" si="20"/>
        <v>1</v>
      </c>
      <c r="P44" t="str">
        <f t="shared" si="20"/>
        <v>1</v>
      </c>
      <c r="Q44" t="str">
        <f t="shared" si="20"/>
        <v>1</v>
      </c>
      <c r="R44" t="str">
        <f t="shared" si="20"/>
        <v>0</v>
      </c>
      <c r="S44" t="str">
        <f t="shared" si="20"/>
        <v>0</v>
      </c>
      <c r="T44" t="str">
        <f t="shared" si="20"/>
        <v>1</v>
      </c>
      <c r="U44" t="str">
        <f t="shared" si="20"/>
        <v>1</v>
      </c>
      <c r="V44" t="str">
        <f t="shared" si="20"/>
        <v>0</v>
      </c>
      <c r="W44" t="str">
        <f t="shared" si="20"/>
        <v>1</v>
      </c>
      <c r="X44" t="str">
        <f t="shared" si="20"/>
        <v>0</v>
      </c>
      <c r="Y44" t="str">
        <f t="shared" si="20"/>
        <v>1</v>
      </c>
      <c r="Z44" t="str">
        <f t="shared" si="20"/>
        <v>1</v>
      </c>
      <c r="AA44" t="str">
        <f t="shared" si="20"/>
        <v>1</v>
      </c>
      <c r="AB44" t="str">
        <f t="shared" si="20"/>
        <v>1</v>
      </c>
      <c r="AC44" t="str">
        <f t="shared" si="20"/>
        <v>0</v>
      </c>
      <c r="AD44" t="str">
        <f t="shared" si="20"/>
        <v>1</v>
      </c>
      <c r="AE44" t="str">
        <f t="shared" si="20"/>
        <v>1</v>
      </c>
      <c r="AF44" t="str">
        <f t="shared" si="20"/>
        <v>0</v>
      </c>
      <c r="AG44" t="str">
        <f t="shared" si="20"/>
        <v>0</v>
      </c>
    </row>
    <row r="45" spans="1:33">
      <c r="A45" t="s">
        <v>21</v>
      </c>
      <c r="B45" t="str">
        <f>'IO SHEET'!B23</f>
        <v>00010100101001111101011001111000</v>
      </c>
    </row>
    <row r="46" spans="1:33">
      <c r="B46" t="str">
        <f>MID($B$45,B42,1)</f>
        <v>0</v>
      </c>
      <c r="C46" t="str">
        <f t="shared" ref="C46:AG46" si="21">MID($B$45,C42,1)</f>
        <v>0</v>
      </c>
      <c r="D46" t="str">
        <f t="shared" si="21"/>
        <v>0</v>
      </c>
      <c r="E46" t="str">
        <f t="shared" si="21"/>
        <v>1</v>
      </c>
      <c r="F46" t="str">
        <f t="shared" si="21"/>
        <v>0</v>
      </c>
      <c r="G46" t="str">
        <f t="shared" si="21"/>
        <v>1</v>
      </c>
      <c r="H46" t="str">
        <f t="shared" si="21"/>
        <v>0</v>
      </c>
      <c r="I46" t="str">
        <f t="shared" si="21"/>
        <v>0</v>
      </c>
      <c r="J46" t="str">
        <f t="shared" si="21"/>
        <v>1</v>
      </c>
      <c r="K46" t="str">
        <f t="shared" si="21"/>
        <v>0</v>
      </c>
      <c r="L46" t="str">
        <f t="shared" si="21"/>
        <v>1</v>
      </c>
      <c r="M46" t="str">
        <f t="shared" si="21"/>
        <v>0</v>
      </c>
      <c r="N46" t="str">
        <f t="shared" si="21"/>
        <v>0</v>
      </c>
      <c r="O46" t="str">
        <f t="shared" si="21"/>
        <v>1</v>
      </c>
      <c r="P46" t="str">
        <f t="shared" si="21"/>
        <v>1</v>
      </c>
      <c r="Q46" t="str">
        <f t="shared" si="21"/>
        <v>1</v>
      </c>
      <c r="R46" t="str">
        <f t="shared" si="21"/>
        <v>1</v>
      </c>
      <c r="S46" t="str">
        <f t="shared" si="21"/>
        <v>1</v>
      </c>
      <c r="T46" t="str">
        <f t="shared" si="21"/>
        <v>0</v>
      </c>
      <c r="U46" t="str">
        <f t="shared" si="21"/>
        <v>1</v>
      </c>
      <c r="V46" t="str">
        <f t="shared" si="21"/>
        <v>0</v>
      </c>
      <c r="W46" t="str">
        <f t="shared" si="21"/>
        <v>1</v>
      </c>
      <c r="X46" t="str">
        <f t="shared" si="21"/>
        <v>1</v>
      </c>
      <c r="Y46" t="str">
        <f t="shared" si="21"/>
        <v>0</v>
      </c>
      <c r="Z46" t="str">
        <f t="shared" si="21"/>
        <v>0</v>
      </c>
      <c r="AA46" t="str">
        <f t="shared" si="21"/>
        <v>1</v>
      </c>
      <c r="AB46" t="str">
        <f t="shared" si="21"/>
        <v>1</v>
      </c>
      <c r="AC46" t="str">
        <f t="shared" si="21"/>
        <v>1</v>
      </c>
      <c r="AD46" t="str">
        <f t="shared" si="21"/>
        <v>1</v>
      </c>
      <c r="AE46" t="str">
        <f t="shared" si="21"/>
        <v>0</v>
      </c>
      <c r="AF46" t="str">
        <f t="shared" si="21"/>
        <v>0</v>
      </c>
      <c r="AG46" t="str">
        <f t="shared" si="21"/>
        <v>0</v>
      </c>
    </row>
    <row r="47" spans="1:33">
      <c r="A47" t="s">
        <v>24</v>
      </c>
      <c r="B47">
        <f>IF(B44=B46,0,1)</f>
        <v>0</v>
      </c>
      <c r="C47">
        <f t="shared" ref="C47:AG47" si="22">IF(C44=C46,0,1)</f>
        <v>1</v>
      </c>
      <c r="D47">
        <f t="shared" si="22"/>
        <v>0</v>
      </c>
      <c r="E47">
        <f t="shared" si="22"/>
        <v>1</v>
      </c>
      <c r="F47">
        <f t="shared" si="22"/>
        <v>1</v>
      </c>
      <c r="G47">
        <f t="shared" si="22"/>
        <v>0</v>
      </c>
      <c r="H47">
        <f t="shared" si="22"/>
        <v>1</v>
      </c>
      <c r="I47">
        <f t="shared" si="22"/>
        <v>0</v>
      </c>
      <c r="J47">
        <f t="shared" si="22"/>
        <v>0</v>
      </c>
      <c r="K47">
        <f t="shared" si="22"/>
        <v>1</v>
      </c>
      <c r="L47">
        <f t="shared" si="22"/>
        <v>1</v>
      </c>
      <c r="M47">
        <f t="shared" si="22"/>
        <v>1</v>
      </c>
      <c r="N47">
        <f t="shared" si="22"/>
        <v>1</v>
      </c>
      <c r="O47">
        <f t="shared" si="22"/>
        <v>0</v>
      </c>
      <c r="P47">
        <f t="shared" si="22"/>
        <v>0</v>
      </c>
      <c r="Q47">
        <f t="shared" si="22"/>
        <v>0</v>
      </c>
      <c r="R47">
        <f t="shared" si="22"/>
        <v>1</v>
      </c>
      <c r="S47">
        <f t="shared" si="22"/>
        <v>1</v>
      </c>
      <c r="T47">
        <f t="shared" si="22"/>
        <v>1</v>
      </c>
      <c r="U47">
        <f t="shared" si="22"/>
        <v>0</v>
      </c>
      <c r="V47">
        <f t="shared" si="22"/>
        <v>0</v>
      </c>
      <c r="W47">
        <f t="shared" si="22"/>
        <v>0</v>
      </c>
      <c r="X47">
        <f t="shared" si="22"/>
        <v>1</v>
      </c>
      <c r="Y47">
        <f t="shared" si="22"/>
        <v>1</v>
      </c>
      <c r="Z47">
        <f t="shared" si="22"/>
        <v>1</v>
      </c>
      <c r="AA47">
        <f t="shared" si="22"/>
        <v>0</v>
      </c>
      <c r="AB47">
        <f t="shared" si="22"/>
        <v>0</v>
      </c>
      <c r="AC47">
        <f t="shared" si="22"/>
        <v>1</v>
      </c>
      <c r="AD47">
        <f t="shared" si="22"/>
        <v>0</v>
      </c>
      <c r="AE47">
        <f t="shared" si="22"/>
        <v>1</v>
      </c>
      <c r="AF47">
        <f t="shared" si="22"/>
        <v>0</v>
      </c>
      <c r="AG47">
        <f t="shared" si="22"/>
        <v>0</v>
      </c>
    </row>
    <row r="48" spans="1:33">
      <c r="B48" t="str">
        <f>CONCATENATE(B47,C47,D47,E47)</f>
        <v>0101</v>
      </c>
      <c r="F48" t="str">
        <f>CONCATENATE(F47,G47,H47,I47)</f>
        <v>1010</v>
      </c>
      <c r="J48" t="str">
        <f>CONCATENATE(J47,K47,L47,M47)</f>
        <v>0111</v>
      </c>
      <c r="N48" t="str">
        <f>CONCATENATE(N47,O47,P47,Q47)</f>
        <v>1000</v>
      </c>
      <c r="R48" t="str">
        <f>CONCATENATE(R47,S47,T47,U47)</f>
        <v>1110</v>
      </c>
      <c r="V48" t="str">
        <f>CONCATENATE(V47,W47,X47,Y47)</f>
        <v>0011</v>
      </c>
      <c r="Z48" t="str">
        <f>CONCATENATE(Z47,AA47,AB47,AC47)</f>
        <v>1001</v>
      </c>
      <c r="AD48" t="str">
        <f>CONCATENATE(AD47,AE47,AF47,AG47)</f>
        <v>0100</v>
      </c>
    </row>
    <row r="49" spans="1:2">
      <c r="A49" t="s">
        <v>24</v>
      </c>
      <c r="B49" t="str">
        <f>CONCATENATE(B48,F48,J48,N48,R48,V48,Z48,AD48)</f>
        <v>01011010011110001110001110010100</v>
      </c>
    </row>
    <row r="50" spans="1:2">
      <c r="A50" t="s">
        <v>165</v>
      </c>
      <c r="B50" t="str">
        <f>CONCATENATE(BIN2HEX(B48),BIN2HEX(F48),BIN2HEX(J48),BIN2HEX(N48),BIN2HEX(R48),BIN2HEX(V48),BIN2HEX(Z48),BIN2HEX(AD48))</f>
        <v>5A78E394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50"/>
  <sheetViews>
    <sheetView workbookViewId="0">
      <selection activeCell="S11" sqref="S11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2</v>
      </c>
    </row>
    <row r="5" spans="1:13">
      <c r="A5" t="str">
        <f>CONCATENATE("K",C4)</f>
        <v>K2</v>
      </c>
      <c r="C5" s="8" t="str">
        <f>Kn!O3</f>
        <v>010001010110100001011000000110101011110011001110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L2   =</v>
      </c>
      <c r="B6" t="str">
        <f>CONCATENATE("R",(C4-1))</f>
        <v>R1</v>
      </c>
      <c r="C6" s="8" t="str">
        <f>'R1'!B49</f>
        <v>01011010011110001110001110010100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E(R1)</v>
      </c>
      <c r="B8">
        <v>1</v>
      </c>
      <c r="C8" s="1" t="str">
        <f t="shared" ref="C8:H15" si="0">MID($C$6,VLOOKUP($B8,E_BIT,C$7+1,FALSE),1)</f>
        <v>0</v>
      </c>
      <c r="D8" s="1" t="str">
        <f t="shared" si="0"/>
        <v>0</v>
      </c>
      <c r="E8" s="1" t="str">
        <f t="shared" si="0"/>
        <v>1</v>
      </c>
      <c r="F8" s="1" t="str">
        <f t="shared" si="0"/>
        <v>0</v>
      </c>
      <c r="G8" s="1" t="str">
        <f t="shared" si="0"/>
        <v>1</v>
      </c>
      <c r="H8" s="1" t="str">
        <f t="shared" si="0"/>
        <v>1</v>
      </c>
      <c r="I8" s="6" t="str">
        <f>CONCATENATE(C8,D8,E8,F8,G8,H8)</f>
        <v>001011</v>
      </c>
    </row>
    <row r="9" spans="1:13">
      <c r="B9">
        <v>2</v>
      </c>
      <c r="C9" s="1" t="str">
        <f t="shared" si="0"/>
        <v>1</v>
      </c>
      <c r="D9" s="1" t="str">
        <f t="shared" si="0"/>
        <v>1</v>
      </c>
      <c r="E9" s="1" t="str">
        <f t="shared" si="0"/>
        <v>0</v>
      </c>
      <c r="F9" s="1" t="str">
        <f t="shared" si="0"/>
        <v>1</v>
      </c>
      <c r="G9" s="1" t="str">
        <f t="shared" si="0"/>
        <v>0</v>
      </c>
      <c r="H9" s="1" t="str">
        <f t="shared" si="0"/>
        <v>0</v>
      </c>
      <c r="I9" s="6" t="str">
        <f t="shared" ref="I9:I15" si="1">CONCATENATE(C9,D9,E9,F9,G9,H9)</f>
        <v>110100</v>
      </c>
    </row>
    <row r="10" spans="1:13">
      <c r="B10">
        <v>3</v>
      </c>
      <c r="C10" s="1" t="str">
        <f t="shared" si="0"/>
        <v>0</v>
      </c>
      <c r="D10" s="1" t="str">
        <f t="shared" si="0"/>
        <v>0</v>
      </c>
      <c r="E10" s="1" t="str">
        <f t="shared" si="0"/>
        <v>1</v>
      </c>
      <c r="F10" s="1" t="str">
        <f t="shared" si="0"/>
        <v>1</v>
      </c>
      <c r="G10" s="1" t="str">
        <f t="shared" si="0"/>
        <v>1</v>
      </c>
      <c r="H10" s="1" t="str">
        <f t="shared" si="0"/>
        <v>1</v>
      </c>
      <c r="I10" s="6" t="str">
        <f t="shared" si="1"/>
        <v>001111</v>
      </c>
    </row>
    <row r="11" spans="1:13">
      <c r="B11">
        <v>4</v>
      </c>
      <c r="C11" s="1" t="str">
        <f t="shared" si="0"/>
        <v>1</v>
      </c>
      <c r="D11" s="1" t="str">
        <f t="shared" si="0"/>
        <v>1</v>
      </c>
      <c r="E11" s="1" t="str">
        <f t="shared" si="0"/>
        <v>0</v>
      </c>
      <c r="F11" s="1" t="str">
        <f t="shared" si="0"/>
        <v>0</v>
      </c>
      <c r="G11" s="1" t="str">
        <f t="shared" si="0"/>
        <v>0</v>
      </c>
      <c r="H11" s="1" t="str">
        <f t="shared" si="0"/>
        <v>1</v>
      </c>
      <c r="I11" s="6" t="str">
        <f t="shared" si="1"/>
        <v>110001</v>
      </c>
    </row>
    <row r="12" spans="1:13">
      <c r="B12">
        <v>5</v>
      </c>
      <c r="C12" s="1" t="str">
        <f t="shared" si="0"/>
        <v>0</v>
      </c>
      <c r="D12" s="1" t="str">
        <f t="shared" si="0"/>
        <v>1</v>
      </c>
      <c r="E12" s="1" t="str">
        <f t="shared" si="0"/>
        <v>1</v>
      </c>
      <c r="F12" s="1" t="str">
        <f t="shared" si="0"/>
        <v>1</v>
      </c>
      <c r="G12" s="1" t="str">
        <f t="shared" si="0"/>
        <v>0</v>
      </c>
      <c r="H12" s="1" t="str">
        <f t="shared" si="0"/>
        <v>0</v>
      </c>
      <c r="I12" s="6" t="str">
        <f t="shared" si="1"/>
        <v>011100</v>
      </c>
    </row>
    <row r="13" spans="1:13">
      <c r="B13">
        <v>6</v>
      </c>
      <c r="C13" s="1" t="str">
        <f t="shared" si="0"/>
        <v>0</v>
      </c>
      <c r="D13" s="1" t="str">
        <f t="shared" si="0"/>
        <v>0</v>
      </c>
      <c r="E13" s="1" t="str">
        <f t="shared" si="0"/>
        <v>0</v>
      </c>
      <c r="F13" s="1" t="str">
        <f t="shared" si="0"/>
        <v>1</v>
      </c>
      <c r="G13" s="1" t="str">
        <f t="shared" si="0"/>
        <v>1</v>
      </c>
      <c r="H13" s="1" t="str">
        <f t="shared" si="0"/>
        <v>1</v>
      </c>
      <c r="I13" s="6" t="str">
        <f t="shared" si="1"/>
        <v>000111</v>
      </c>
    </row>
    <row r="14" spans="1:13">
      <c r="B14">
        <v>7</v>
      </c>
      <c r="C14" s="1" t="str">
        <f t="shared" si="0"/>
        <v>1</v>
      </c>
      <c r="D14" s="1" t="str">
        <f t="shared" si="0"/>
        <v>1</v>
      </c>
      <c r="E14" s="1" t="str">
        <f t="shared" si="0"/>
        <v>0</v>
      </c>
      <c r="F14" s="1" t="str">
        <f t="shared" si="0"/>
        <v>0</v>
      </c>
      <c r="G14" s="1" t="str">
        <f t="shared" si="0"/>
        <v>1</v>
      </c>
      <c r="H14" s="1" t="str">
        <f t="shared" si="0"/>
        <v>0</v>
      </c>
      <c r="I14" s="6" t="str">
        <f t="shared" si="1"/>
        <v>110010</v>
      </c>
    </row>
    <row r="15" spans="1:13">
      <c r="B15">
        <v>8</v>
      </c>
      <c r="C15" s="1" t="str">
        <f t="shared" si="0"/>
        <v>1</v>
      </c>
      <c r="D15" s="1" t="str">
        <f t="shared" si="0"/>
        <v>0</v>
      </c>
      <c r="E15" s="1" t="str">
        <f t="shared" si="0"/>
        <v>1</v>
      </c>
      <c r="F15" s="1" t="str">
        <f t="shared" si="0"/>
        <v>0</v>
      </c>
      <c r="G15" s="1" t="str">
        <f t="shared" si="0"/>
        <v>0</v>
      </c>
      <c r="H15" s="1" t="str">
        <f t="shared" si="0"/>
        <v>0</v>
      </c>
      <c r="I15" s="6" t="str">
        <f t="shared" si="1"/>
        <v>101000</v>
      </c>
    </row>
    <row r="16" spans="1:13">
      <c r="A16" t="str">
        <f>A8</f>
        <v>E(R1)</v>
      </c>
      <c r="B16" t="str">
        <f>CONCATENATE(I8,I9,I10,I11,I12,I13,I14,I15)</f>
        <v>001011110100001111110001011100000111110010101000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K2</v>
      </c>
      <c r="B19" t="str">
        <f>MID($C$5,B18,1)</f>
        <v>0</v>
      </c>
      <c r="C19" t="str">
        <f t="shared" ref="C19:AW19" si="2">MID($C$5,C18,1)</f>
        <v>1</v>
      </c>
      <c r="D19" t="str">
        <f t="shared" si="2"/>
        <v>0</v>
      </c>
      <c r="E19" t="str">
        <f t="shared" si="2"/>
        <v>0</v>
      </c>
      <c r="F19" t="str">
        <f t="shared" si="2"/>
        <v>0</v>
      </c>
      <c r="G19" t="str">
        <f t="shared" si="2"/>
        <v>1</v>
      </c>
      <c r="H19" t="str">
        <f t="shared" si="2"/>
        <v>0</v>
      </c>
      <c r="I19" t="str">
        <f t="shared" si="2"/>
        <v>1</v>
      </c>
      <c r="J19" t="str">
        <f t="shared" si="2"/>
        <v>0</v>
      </c>
      <c r="K19" t="str">
        <f t="shared" si="2"/>
        <v>1</v>
      </c>
      <c r="L19" t="str">
        <f t="shared" si="2"/>
        <v>1</v>
      </c>
      <c r="M19" t="str">
        <f t="shared" si="2"/>
        <v>0</v>
      </c>
      <c r="N19" t="str">
        <f t="shared" si="2"/>
        <v>1</v>
      </c>
      <c r="O19" t="str">
        <f t="shared" si="2"/>
        <v>0</v>
      </c>
      <c r="P19" t="str">
        <f t="shared" si="2"/>
        <v>0</v>
      </c>
      <c r="Q19" t="str">
        <f t="shared" si="2"/>
        <v>0</v>
      </c>
      <c r="R19" t="str">
        <f t="shared" si="2"/>
        <v>0</v>
      </c>
      <c r="S19" t="str">
        <f t="shared" si="2"/>
        <v>1</v>
      </c>
      <c r="T19" t="str">
        <f t="shared" si="2"/>
        <v>0</v>
      </c>
      <c r="U19" t="str">
        <f t="shared" si="2"/>
        <v>1</v>
      </c>
      <c r="V19" t="str">
        <f t="shared" si="2"/>
        <v>1</v>
      </c>
      <c r="W19" t="str">
        <f t="shared" si="2"/>
        <v>0</v>
      </c>
      <c r="X19" t="str">
        <f t="shared" si="2"/>
        <v>0</v>
      </c>
      <c r="Y19" t="str">
        <f t="shared" si="2"/>
        <v>0</v>
      </c>
      <c r="Z19" t="str">
        <f t="shared" si="2"/>
        <v>0</v>
      </c>
      <c r="AA19" t="str">
        <f t="shared" si="2"/>
        <v>0</v>
      </c>
      <c r="AB19" t="str">
        <f t="shared" si="2"/>
        <v>0</v>
      </c>
      <c r="AC19" t="str">
        <f t="shared" si="2"/>
        <v>1</v>
      </c>
      <c r="AD19" t="str">
        <f t="shared" si="2"/>
        <v>1</v>
      </c>
      <c r="AE19" t="str">
        <f t="shared" si="2"/>
        <v>0</v>
      </c>
      <c r="AF19" t="str">
        <f t="shared" si="2"/>
        <v>1</v>
      </c>
      <c r="AG19" t="str">
        <f t="shared" si="2"/>
        <v>0</v>
      </c>
      <c r="AH19" t="str">
        <f t="shared" si="2"/>
        <v>1</v>
      </c>
      <c r="AI19" t="str">
        <f t="shared" si="2"/>
        <v>0</v>
      </c>
      <c r="AJ19" t="str">
        <f t="shared" si="2"/>
        <v>1</v>
      </c>
      <c r="AK19" t="str">
        <f t="shared" si="2"/>
        <v>1</v>
      </c>
      <c r="AL19" t="str">
        <f t="shared" si="2"/>
        <v>1</v>
      </c>
      <c r="AM19" t="str">
        <f t="shared" si="2"/>
        <v>1</v>
      </c>
      <c r="AN19" t="str">
        <f t="shared" si="2"/>
        <v>0</v>
      </c>
      <c r="AO19" t="str">
        <f t="shared" si="2"/>
        <v>0</v>
      </c>
      <c r="AP19" t="str">
        <f t="shared" si="2"/>
        <v>1</v>
      </c>
      <c r="AQ19" t="str">
        <f t="shared" si="2"/>
        <v>1</v>
      </c>
      <c r="AR19" t="str">
        <f t="shared" si="2"/>
        <v>0</v>
      </c>
      <c r="AS19" t="str">
        <f t="shared" si="2"/>
        <v>0</v>
      </c>
      <c r="AT19" t="str">
        <f t="shared" si="2"/>
        <v>1</v>
      </c>
      <c r="AU19" t="str">
        <f t="shared" si="2"/>
        <v>1</v>
      </c>
      <c r="AV19" t="str">
        <f t="shared" si="2"/>
        <v>1</v>
      </c>
      <c r="AW19" t="str">
        <f t="shared" si="2"/>
        <v>0</v>
      </c>
    </row>
    <row r="20" spans="1:49">
      <c r="A20" t="str">
        <f>A16</f>
        <v>E(R1)</v>
      </c>
      <c r="B20" t="str">
        <f>MID($B$16,B18,1)</f>
        <v>0</v>
      </c>
      <c r="C20" t="str">
        <f t="shared" ref="C20:AW20" si="3">MID($B$16,C18,1)</f>
        <v>0</v>
      </c>
      <c r="D20" t="str">
        <f t="shared" si="3"/>
        <v>1</v>
      </c>
      <c r="E20" t="str">
        <f t="shared" si="3"/>
        <v>0</v>
      </c>
      <c r="F20" t="str">
        <f t="shared" si="3"/>
        <v>1</v>
      </c>
      <c r="G20" t="str">
        <f t="shared" si="3"/>
        <v>1</v>
      </c>
      <c r="H20" t="str">
        <f t="shared" si="3"/>
        <v>1</v>
      </c>
      <c r="I20" t="str">
        <f t="shared" si="3"/>
        <v>1</v>
      </c>
      <c r="J20" t="str">
        <f t="shared" si="3"/>
        <v>0</v>
      </c>
      <c r="K20" t="str">
        <f t="shared" si="3"/>
        <v>1</v>
      </c>
      <c r="L20" t="str">
        <f t="shared" si="3"/>
        <v>0</v>
      </c>
      <c r="M20" t="str">
        <f t="shared" si="3"/>
        <v>0</v>
      </c>
      <c r="N20" t="str">
        <f t="shared" si="3"/>
        <v>0</v>
      </c>
      <c r="O20" t="str">
        <f t="shared" si="3"/>
        <v>0</v>
      </c>
      <c r="P20" t="str">
        <f t="shared" si="3"/>
        <v>1</v>
      </c>
      <c r="Q20" t="str">
        <f t="shared" si="3"/>
        <v>1</v>
      </c>
      <c r="R20" t="str">
        <f t="shared" si="3"/>
        <v>1</v>
      </c>
      <c r="S20" t="str">
        <f t="shared" si="3"/>
        <v>1</v>
      </c>
      <c r="T20" t="str">
        <f t="shared" si="3"/>
        <v>1</v>
      </c>
      <c r="U20" t="str">
        <f t="shared" si="3"/>
        <v>1</v>
      </c>
      <c r="V20" t="str">
        <f t="shared" si="3"/>
        <v>0</v>
      </c>
      <c r="W20" t="str">
        <f t="shared" si="3"/>
        <v>0</v>
      </c>
      <c r="X20" t="str">
        <f t="shared" si="3"/>
        <v>0</v>
      </c>
      <c r="Y20" t="str">
        <f t="shared" si="3"/>
        <v>1</v>
      </c>
      <c r="Z20" t="str">
        <f t="shared" si="3"/>
        <v>0</v>
      </c>
      <c r="AA20" t="str">
        <f t="shared" si="3"/>
        <v>1</v>
      </c>
      <c r="AB20" t="str">
        <f t="shared" si="3"/>
        <v>1</v>
      </c>
      <c r="AC20" t="str">
        <f t="shared" si="3"/>
        <v>1</v>
      </c>
      <c r="AD20" t="str">
        <f t="shared" si="3"/>
        <v>0</v>
      </c>
      <c r="AE20" t="str">
        <f t="shared" si="3"/>
        <v>0</v>
      </c>
      <c r="AF20" t="str">
        <f t="shared" si="3"/>
        <v>0</v>
      </c>
      <c r="AG20" t="str">
        <f t="shared" si="3"/>
        <v>0</v>
      </c>
      <c r="AH20" t="str">
        <f t="shared" si="3"/>
        <v>0</v>
      </c>
      <c r="AI20" t="str">
        <f t="shared" si="3"/>
        <v>1</v>
      </c>
      <c r="AJ20" t="str">
        <f t="shared" si="3"/>
        <v>1</v>
      </c>
      <c r="AK20" t="str">
        <f t="shared" si="3"/>
        <v>1</v>
      </c>
      <c r="AL20" t="str">
        <f t="shared" si="3"/>
        <v>1</v>
      </c>
      <c r="AM20" t="str">
        <f t="shared" si="3"/>
        <v>1</v>
      </c>
      <c r="AN20" t="str">
        <f t="shared" si="3"/>
        <v>0</v>
      </c>
      <c r="AO20" t="str">
        <f t="shared" si="3"/>
        <v>0</v>
      </c>
      <c r="AP20" t="str">
        <f t="shared" si="3"/>
        <v>1</v>
      </c>
      <c r="AQ20" t="str">
        <f t="shared" si="3"/>
        <v>0</v>
      </c>
      <c r="AR20" t="str">
        <f t="shared" si="3"/>
        <v>1</v>
      </c>
      <c r="AS20" t="str">
        <f t="shared" si="3"/>
        <v>0</v>
      </c>
      <c r="AT20" t="str">
        <f t="shared" si="3"/>
        <v>1</v>
      </c>
      <c r="AU20" t="str">
        <f t="shared" si="3"/>
        <v>0</v>
      </c>
      <c r="AV20" t="str">
        <f t="shared" si="3"/>
        <v>0</v>
      </c>
      <c r="AW20" t="str">
        <f t="shared" si="3"/>
        <v>0</v>
      </c>
    </row>
    <row r="21" spans="1:49">
      <c r="A21" s="6" t="str">
        <f>CONCATENATE(A19," + ",A20)</f>
        <v>K2 + E(R1)</v>
      </c>
      <c r="B21" s="1">
        <f>IF(B19=B20,0,1)</f>
        <v>0</v>
      </c>
      <c r="C21" s="1">
        <f t="shared" ref="C21:AW21" si="4">IF(C19=C20,0,1)</f>
        <v>1</v>
      </c>
      <c r="D21" s="1">
        <f t="shared" si="4"/>
        <v>1</v>
      </c>
      <c r="E21" s="1">
        <f t="shared" si="4"/>
        <v>0</v>
      </c>
      <c r="F21" s="1">
        <f t="shared" si="4"/>
        <v>1</v>
      </c>
      <c r="G21" s="1">
        <f t="shared" si="4"/>
        <v>0</v>
      </c>
      <c r="H21" s="1">
        <f t="shared" si="4"/>
        <v>1</v>
      </c>
      <c r="I21" s="1">
        <f t="shared" si="4"/>
        <v>0</v>
      </c>
      <c r="J21" s="1">
        <f t="shared" si="4"/>
        <v>0</v>
      </c>
      <c r="K21" s="1">
        <f t="shared" si="4"/>
        <v>0</v>
      </c>
      <c r="L21" s="1">
        <f t="shared" si="4"/>
        <v>1</v>
      </c>
      <c r="M21" s="1">
        <f t="shared" si="4"/>
        <v>0</v>
      </c>
      <c r="N21" s="1">
        <f t="shared" si="4"/>
        <v>1</v>
      </c>
      <c r="O21" s="1">
        <f t="shared" si="4"/>
        <v>0</v>
      </c>
      <c r="P21" s="1">
        <f t="shared" si="4"/>
        <v>1</v>
      </c>
      <c r="Q21" s="1">
        <f t="shared" si="4"/>
        <v>1</v>
      </c>
      <c r="R21" s="1">
        <f t="shared" si="4"/>
        <v>1</v>
      </c>
      <c r="S21" s="1">
        <f t="shared" si="4"/>
        <v>0</v>
      </c>
      <c r="T21" s="1">
        <f t="shared" si="4"/>
        <v>1</v>
      </c>
      <c r="U21" s="1">
        <f t="shared" si="4"/>
        <v>0</v>
      </c>
      <c r="V21" s="1">
        <f t="shared" si="4"/>
        <v>1</v>
      </c>
      <c r="W21" s="1">
        <f t="shared" si="4"/>
        <v>0</v>
      </c>
      <c r="X21" s="1">
        <f t="shared" si="4"/>
        <v>0</v>
      </c>
      <c r="Y21" s="1">
        <f t="shared" si="4"/>
        <v>1</v>
      </c>
      <c r="Z21" s="1">
        <f t="shared" si="4"/>
        <v>0</v>
      </c>
      <c r="AA21" s="1">
        <f t="shared" si="4"/>
        <v>1</v>
      </c>
      <c r="AB21" s="1">
        <f t="shared" si="4"/>
        <v>1</v>
      </c>
      <c r="AC21" s="1">
        <f t="shared" si="4"/>
        <v>0</v>
      </c>
      <c r="AD21" s="1">
        <f t="shared" si="4"/>
        <v>1</v>
      </c>
      <c r="AE21" s="1">
        <f t="shared" si="4"/>
        <v>0</v>
      </c>
      <c r="AF21" s="1">
        <f t="shared" si="4"/>
        <v>1</v>
      </c>
      <c r="AG21" s="1">
        <f t="shared" si="4"/>
        <v>0</v>
      </c>
      <c r="AH21" s="1">
        <f t="shared" si="4"/>
        <v>1</v>
      </c>
      <c r="AI21" s="1">
        <f t="shared" si="4"/>
        <v>1</v>
      </c>
      <c r="AJ21" s="1">
        <f t="shared" si="4"/>
        <v>0</v>
      </c>
      <c r="AK21" s="1">
        <f t="shared" si="4"/>
        <v>0</v>
      </c>
      <c r="AL21" s="1">
        <f t="shared" si="4"/>
        <v>0</v>
      </c>
      <c r="AM21" s="1">
        <f t="shared" si="4"/>
        <v>0</v>
      </c>
      <c r="AN21" s="1">
        <f t="shared" si="4"/>
        <v>0</v>
      </c>
      <c r="AO21" s="1">
        <f t="shared" si="4"/>
        <v>0</v>
      </c>
      <c r="AP21" s="1">
        <f t="shared" si="4"/>
        <v>0</v>
      </c>
      <c r="AQ21" s="1">
        <f t="shared" si="4"/>
        <v>1</v>
      </c>
      <c r="AR21" s="1">
        <f t="shared" si="4"/>
        <v>1</v>
      </c>
      <c r="AS21" s="1">
        <f t="shared" si="4"/>
        <v>0</v>
      </c>
      <c r="AT21" s="1">
        <f t="shared" si="4"/>
        <v>0</v>
      </c>
      <c r="AU21" s="1">
        <f t="shared" si="4"/>
        <v>1</v>
      </c>
      <c r="AV21" s="1">
        <f t="shared" si="4"/>
        <v>1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1</v>
      </c>
      <c r="D23">
        <f t="shared" si="5"/>
        <v>1</v>
      </c>
      <c r="E23">
        <f t="shared" si="5"/>
        <v>0</v>
      </c>
      <c r="F23">
        <f t="shared" si="5"/>
        <v>1</v>
      </c>
      <c r="G23">
        <f t="shared" si="5"/>
        <v>0</v>
      </c>
      <c r="H23" t="str">
        <f>CONCATENATE(B23,G23)</f>
        <v>00</v>
      </c>
      <c r="I23" t="str">
        <f>CONCATENATE(C23,D23,E23,F23)</f>
        <v>1101</v>
      </c>
      <c r="J23">
        <f>BIN2DEC(H23)</f>
        <v>0</v>
      </c>
      <c r="K23">
        <f>BIN2DEC(I23)</f>
        <v>13</v>
      </c>
      <c r="L23">
        <f>VLOOKUP(J23,S1_BOX,K23+2,FALSE)</f>
        <v>9</v>
      </c>
      <c r="M23" t="str">
        <f>DEC2BIN(L23,4)</f>
        <v>1001</v>
      </c>
    </row>
    <row r="24" spans="1:49">
      <c r="A24" t="s">
        <v>155</v>
      </c>
      <c r="B24">
        <f>H21</f>
        <v>1</v>
      </c>
      <c r="C24">
        <f t="shared" ref="C24:G24" si="6">I21</f>
        <v>0</v>
      </c>
      <c r="D24">
        <f t="shared" si="6"/>
        <v>0</v>
      </c>
      <c r="E24">
        <f t="shared" si="6"/>
        <v>0</v>
      </c>
      <c r="F24">
        <f t="shared" si="6"/>
        <v>1</v>
      </c>
      <c r="G24">
        <f t="shared" si="6"/>
        <v>0</v>
      </c>
      <c r="H24" t="str">
        <f t="shared" ref="H24:H30" si="7">CONCATENATE(B24,G24)</f>
        <v>10</v>
      </c>
      <c r="I24" t="str">
        <f t="shared" ref="I24:I30" si="8">CONCATENATE(C24,D24,E24,F24)</f>
        <v>0001</v>
      </c>
      <c r="J24">
        <f t="shared" ref="J24:K30" si="9">BIN2DEC(H24)</f>
        <v>2</v>
      </c>
      <c r="K24">
        <f t="shared" si="9"/>
        <v>1</v>
      </c>
      <c r="L24">
        <f>VLOOKUP(J24,S2_BOX,K24+2,FALSE)</f>
        <v>14</v>
      </c>
      <c r="M24" t="str">
        <f t="shared" ref="M24:M30" si="10">DEC2BIN(L24,4)</f>
        <v>1110</v>
      </c>
    </row>
    <row r="25" spans="1:49">
      <c r="A25" t="s">
        <v>156</v>
      </c>
      <c r="B25">
        <f>N21</f>
        <v>1</v>
      </c>
      <c r="C25">
        <f t="shared" ref="C25:G25" si="11">O21</f>
        <v>0</v>
      </c>
      <c r="D25">
        <f t="shared" si="11"/>
        <v>1</v>
      </c>
      <c r="E25">
        <f t="shared" si="11"/>
        <v>1</v>
      </c>
      <c r="F25">
        <f t="shared" si="11"/>
        <v>1</v>
      </c>
      <c r="G25">
        <f t="shared" si="11"/>
        <v>0</v>
      </c>
      <c r="H25" t="str">
        <f t="shared" si="7"/>
        <v>10</v>
      </c>
      <c r="I25" t="str">
        <f t="shared" si="8"/>
        <v>0111</v>
      </c>
      <c r="J25">
        <f t="shared" si="9"/>
        <v>2</v>
      </c>
      <c r="K25">
        <f t="shared" si="9"/>
        <v>7</v>
      </c>
      <c r="L25">
        <f>VLOOKUP(J25,S3_BOX,K25+2,FALSE)</f>
        <v>0</v>
      </c>
      <c r="M25" t="str">
        <f t="shared" si="10"/>
        <v>0000</v>
      </c>
    </row>
    <row r="26" spans="1:49">
      <c r="A26" t="s">
        <v>157</v>
      </c>
      <c r="B26">
        <f>T21</f>
        <v>1</v>
      </c>
      <c r="C26">
        <f t="shared" ref="C26:G26" si="12">U21</f>
        <v>0</v>
      </c>
      <c r="D26">
        <f t="shared" si="12"/>
        <v>1</v>
      </c>
      <c r="E26">
        <f t="shared" si="12"/>
        <v>0</v>
      </c>
      <c r="F26">
        <f t="shared" si="12"/>
        <v>0</v>
      </c>
      <c r="G26">
        <f t="shared" si="12"/>
        <v>1</v>
      </c>
      <c r="H26" t="str">
        <f t="shared" si="7"/>
        <v>11</v>
      </c>
      <c r="I26" t="str">
        <f t="shared" si="8"/>
        <v>0100</v>
      </c>
      <c r="J26">
        <f t="shared" si="9"/>
        <v>3</v>
      </c>
      <c r="K26">
        <f t="shared" si="9"/>
        <v>4</v>
      </c>
      <c r="L26">
        <f>VLOOKUP(J26,S4_BOX,K26+2,FALSE)</f>
        <v>10</v>
      </c>
      <c r="M26" t="str">
        <f t="shared" si="10"/>
        <v>1010</v>
      </c>
    </row>
    <row r="27" spans="1:49">
      <c r="A27" t="s">
        <v>158</v>
      </c>
      <c r="B27">
        <f>Z21</f>
        <v>0</v>
      </c>
      <c r="C27">
        <f t="shared" ref="C27:G27" si="13">AA21</f>
        <v>1</v>
      </c>
      <c r="D27">
        <f t="shared" si="13"/>
        <v>1</v>
      </c>
      <c r="E27">
        <f t="shared" si="13"/>
        <v>0</v>
      </c>
      <c r="F27">
        <f t="shared" si="13"/>
        <v>1</v>
      </c>
      <c r="G27">
        <f t="shared" si="13"/>
        <v>0</v>
      </c>
      <c r="H27" t="str">
        <f t="shared" si="7"/>
        <v>00</v>
      </c>
      <c r="I27" t="str">
        <f t="shared" si="8"/>
        <v>1101</v>
      </c>
      <c r="J27">
        <f t="shared" si="9"/>
        <v>0</v>
      </c>
      <c r="K27">
        <f t="shared" si="9"/>
        <v>13</v>
      </c>
      <c r="L27">
        <f>VLOOKUP(J27,S5_BOX,K27+2,FALSE)</f>
        <v>0</v>
      </c>
      <c r="M27" t="str">
        <f t="shared" si="10"/>
        <v>0000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1</v>
      </c>
      <c r="E28">
        <f t="shared" si="14"/>
        <v>1</v>
      </c>
      <c r="F28">
        <f t="shared" si="14"/>
        <v>0</v>
      </c>
      <c r="G28">
        <f t="shared" si="14"/>
        <v>0</v>
      </c>
      <c r="H28" t="str">
        <f t="shared" si="7"/>
        <v>10</v>
      </c>
      <c r="I28" t="str">
        <f t="shared" si="8"/>
        <v>0110</v>
      </c>
      <c r="J28">
        <f t="shared" si="9"/>
        <v>2</v>
      </c>
      <c r="K28">
        <f t="shared" si="9"/>
        <v>6</v>
      </c>
      <c r="L28">
        <f>VLOOKUP(J28,S6_BOX,K28+2,FALSE)</f>
        <v>12</v>
      </c>
      <c r="M28" t="str">
        <f t="shared" si="10"/>
        <v>1100</v>
      </c>
    </row>
    <row r="29" spans="1:49">
      <c r="A29" t="s">
        <v>160</v>
      </c>
      <c r="B29">
        <f>AL21</f>
        <v>0</v>
      </c>
      <c r="C29">
        <f t="shared" ref="C29:G29" si="15">AM21</f>
        <v>0</v>
      </c>
      <c r="D29">
        <f t="shared" si="15"/>
        <v>0</v>
      </c>
      <c r="E29">
        <f t="shared" si="15"/>
        <v>0</v>
      </c>
      <c r="F29">
        <f t="shared" si="15"/>
        <v>0</v>
      </c>
      <c r="G29">
        <f t="shared" si="15"/>
        <v>1</v>
      </c>
      <c r="H29" t="str">
        <f t="shared" si="7"/>
        <v>01</v>
      </c>
      <c r="I29" t="str">
        <f t="shared" si="8"/>
        <v>0000</v>
      </c>
      <c r="J29">
        <f t="shared" si="9"/>
        <v>1</v>
      </c>
      <c r="K29">
        <f t="shared" si="9"/>
        <v>0</v>
      </c>
      <c r="L29">
        <f>VLOOKUP(J29,S7_BOX,K29+2,FALSE)</f>
        <v>13</v>
      </c>
      <c r="M29" t="str">
        <f t="shared" si="10"/>
        <v>1101</v>
      </c>
    </row>
    <row r="30" spans="1:49">
      <c r="A30" t="s">
        <v>161</v>
      </c>
      <c r="B30">
        <f>AR21</f>
        <v>1</v>
      </c>
      <c r="C30">
        <f t="shared" ref="C30:G30" si="16">AS21</f>
        <v>0</v>
      </c>
      <c r="D30">
        <f t="shared" si="16"/>
        <v>0</v>
      </c>
      <c r="E30">
        <f t="shared" si="16"/>
        <v>1</v>
      </c>
      <c r="F30">
        <f t="shared" si="16"/>
        <v>1</v>
      </c>
      <c r="G30">
        <f t="shared" si="16"/>
        <v>0</v>
      </c>
      <c r="H30" t="str">
        <f t="shared" si="7"/>
        <v>10</v>
      </c>
      <c r="I30" t="str">
        <f t="shared" si="8"/>
        <v>0011</v>
      </c>
      <c r="J30">
        <f t="shared" si="9"/>
        <v>2</v>
      </c>
      <c r="K30">
        <f t="shared" si="9"/>
        <v>3</v>
      </c>
      <c r="L30">
        <f>VLOOKUP(J30,S8_BOX,K30+2,FALSE)</f>
        <v>1</v>
      </c>
      <c r="M30" t="str">
        <f t="shared" si="10"/>
        <v>0001</v>
      </c>
    </row>
    <row r="31" spans="1:49">
      <c r="A31" t="s">
        <v>162</v>
      </c>
      <c r="B31" t="str">
        <f>CONCATENATE(M23,M24,M25,M26,M27,M28,M29,M30)</f>
        <v>10011110000010100000110011010001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1</v>
      </c>
      <c r="E34" t="str">
        <f t="shared" si="17"/>
        <v>0</v>
      </c>
      <c r="F34" t="str">
        <f t="shared" si="17"/>
        <v>1</v>
      </c>
      <c r="G34" t="str">
        <f>CONCATENATE(C34,D34,E34,F34)</f>
        <v>0101</v>
      </c>
    </row>
    <row r="35" spans="1:33">
      <c r="B35">
        <v>2</v>
      </c>
      <c r="C35" t="str">
        <f t="shared" si="17"/>
        <v>0</v>
      </c>
      <c r="D35" t="str">
        <f t="shared" si="17"/>
        <v>0</v>
      </c>
      <c r="E35" t="str">
        <f t="shared" si="17"/>
        <v>1</v>
      </c>
      <c r="F35" t="str">
        <f t="shared" si="17"/>
        <v>0</v>
      </c>
      <c r="G35" t="str">
        <f t="shared" ref="G35:G41" si="18">CONCATENATE(C35,D35,E35,F35)</f>
        <v>0010</v>
      </c>
    </row>
    <row r="36" spans="1:33">
      <c r="B36">
        <v>3</v>
      </c>
      <c r="C36" t="str">
        <f t="shared" si="17"/>
        <v>1</v>
      </c>
      <c r="D36" t="str">
        <f t="shared" si="17"/>
        <v>1</v>
      </c>
      <c r="E36" t="str">
        <f t="shared" si="17"/>
        <v>0</v>
      </c>
      <c r="F36" t="str">
        <f t="shared" si="17"/>
        <v>1</v>
      </c>
      <c r="G36" t="str">
        <f t="shared" si="18"/>
        <v>1101</v>
      </c>
    </row>
    <row r="37" spans="1:33">
      <c r="B37">
        <v>4</v>
      </c>
      <c r="C37" t="str">
        <f t="shared" si="17"/>
        <v>1</v>
      </c>
      <c r="D37" t="str">
        <f t="shared" si="17"/>
        <v>0</v>
      </c>
      <c r="E37" t="str">
        <f t="shared" si="17"/>
        <v>0</v>
      </c>
      <c r="F37" t="str">
        <f t="shared" si="17"/>
        <v>0</v>
      </c>
      <c r="G37" t="str">
        <f t="shared" si="18"/>
        <v>1000</v>
      </c>
    </row>
    <row r="38" spans="1:33">
      <c r="B38">
        <v>5</v>
      </c>
      <c r="C38" t="str">
        <f t="shared" si="17"/>
        <v>0</v>
      </c>
      <c r="D38" t="str">
        <f t="shared" si="17"/>
        <v>0</v>
      </c>
      <c r="E38" t="str">
        <f t="shared" si="17"/>
        <v>0</v>
      </c>
      <c r="F38" t="str">
        <f t="shared" si="17"/>
        <v>0</v>
      </c>
      <c r="G38" t="str">
        <f t="shared" si="18"/>
        <v>0000</v>
      </c>
    </row>
    <row r="39" spans="1:33">
      <c r="B39">
        <v>6</v>
      </c>
      <c r="C39" t="str">
        <f t="shared" si="17"/>
        <v>1</v>
      </c>
      <c r="D39" t="str">
        <f t="shared" si="17"/>
        <v>0</v>
      </c>
      <c r="E39" t="str">
        <f t="shared" si="17"/>
        <v>0</v>
      </c>
      <c r="F39" t="str">
        <f t="shared" si="17"/>
        <v>0</v>
      </c>
      <c r="G39" t="str">
        <f t="shared" si="18"/>
        <v>1000</v>
      </c>
    </row>
    <row r="40" spans="1:33">
      <c r="B40">
        <v>7</v>
      </c>
      <c r="C40" t="str">
        <f t="shared" si="17"/>
        <v>0</v>
      </c>
      <c r="D40" t="str">
        <f t="shared" si="17"/>
        <v>1</v>
      </c>
      <c r="E40" t="str">
        <f t="shared" si="17"/>
        <v>0</v>
      </c>
      <c r="F40" t="str">
        <f t="shared" si="17"/>
        <v>1</v>
      </c>
      <c r="G40" t="str">
        <f t="shared" si="18"/>
        <v>0101</v>
      </c>
    </row>
    <row r="41" spans="1:33">
      <c r="B41">
        <v>8</v>
      </c>
      <c r="C41" t="str">
        <f t="shared" si="17"/>
        <v>1</v>
      </c>
      <c r="D41" t="str">
        <f t="shared" si="17"/>
        <v>0</v>
      </c>
      <c r="E41" t="str">
        <f t="shared" si="17"/>
        <v>1</v>
      </c>
      <c r="F41" t="str">
        <f t="shared" si="17"/>
        <v>1</v>
      </c>
      <c r="G41" t="str">
        <f t="shared" si="18"/>
        <v>1011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01010010110110000000100001011011</v>
      </c>
    </row>
    <row r="44" spans="1:33">
      <c r="B44" t="str">
        <f>MID($B$43,B42,1)</f>
        <v>0</v>
      </c>
      <c r="C44" t="str">
        <f t="shared" ref="C44:AG44" si="19">MID($B$43,C42,1)</f>
        <v>1</v>
      </c>
      <c r="D44" t="str">
        <f t="shared" si="19"/>
        <v>0</v>
      </c>
      <c r="E44" t="str">
        <f t="shared" si="19"/>
        <v>1</v>
      </c>
      <c r="F44" t="str">
        <f t="shared" si="19"/>
        <v>0</v>
      </c>
      <c r="G44" t="str">
        <f t="shared" si="19"/>
        <v>0</v>
      </c>
      <c r="H44" t="str">
        <f t="shared" si="19"/>
        <v>1</v>
      </c>
      <c r="I44" t="str">
        <f t="shared" si="19"/>
        <v>0</v>
      </c>
      <c r="J44" t="str">
        <f t="shared" si="19"/>
        <v>1</v>
      </c>
      <c r="K44" t="str">
        <f t="shared" si="19"/>
        <v>1</v>
      </c>
      <c r="L44" t="str">
        <f t="shared" si="19"/>
        <v>0</v>
      </c>
      <c r="M44" t="str">
        <f t="shared" si="19"/>
        <v>1</v>
      </c>
      <c r="N44" t="str">
        <f t="shared" si="19"/>
        <v>1</v>
      </c>
      <c r="O44" t="str">
        <f t="shared" si="19"/>
        <v>0</v>
      </c>
      <c r="P44" t="str">
        <f t="shared" si="19"/>
        <v>0</v>
      </c>
      <c r="Q44" t="str">
        <f t="shared" si="19"/>
        <v>0</v>
      </c>
      <c r="R44" t="str">
        <f t="shared" si="19"/>
        <v>0</v>
      </c>
      <c r="S44" t="str">
        <f t="shared" si="19"/>
        <v>0</v>
      </c>
      <c r="T44" t="str">
        <f t="shared" si="19"/>
        <v>0</v>
      </c>
      <c r="U44" t="str">
        <f t="shared" si="19"/>
        <v>0</v>
      </c>
      <c r="V44" t="str">
        <f t="shared" si="19"/>
        <v>1</v>
      </c>
      <c r="W44" t="str">
        <f t="shared" si="19"/>
        <v>0</v>
      </c>
      <c r="X44" t="str">
        <f t="shared" si="19"/>
        <v>0</v>
      </c>
      <c r="Y44" t="str">
        <f t="shared" si="19"/>
        <v>0</v>
      </c>
      <c r="Z44" t="str">
        <f t="shared" si="19"/>
        <v>0</v>
      </c>
      <c r="AA44" t="str">
        <f t="shared" si="19"/>
        <v>1</v>
      </c>
      <c r="AB44" t="str">
        <f t="shared" si="19"/>
        <v>0</v>
      </c>
      <c r="AC44" t="str">
        <f t="shared" si="19"/>
        <v>1</v>
      </c>
      <c r="AD44" t="str">
        <f t="shared" si="19"/>
        <v>1</v>
      </c>
      <c r="AE44" t="str">
        <f t="shared" si="19"/>
        <v>0</v>
      </c>
      <c r="AF44" t="str">
        <f t="shared" si="19"/>
        <v>1</v>
      </c>
      <c r="AG44" t="str">
        <f t="shared" si="19"/>
        <v>1</v>
      </c>
    </row>
    <row r="45" spans="1:33">
      <c r="A45" t="str">
        <f>CONCATENATE("L",C4-1)</f>
        <v>L1</v>
      </c>
      <c r="B45" s="8" t="str">
        <f>'R1'!C6</f>
        <v>00011000110010100001100010101101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0</v>
      </c>
      <c r="E46" t="str">
        <f t="shared" si="20"/>
        <v>1</v>
      </c>
      <c r="F46" t="str">
        <f t="shared" si="20"/>
        <v>1</v>
      </c>
      <c r="G46" t="str">
        <f t="shared" si="20"/>
        <v>0</v>
      </c>
      <c r="H46" t="str">
        <f t="shared" si="20"/>
        <v>0</v>
      </c>
      <c r="I46" t="str">
        <f t="shared" si="20"/>
        <v>0</v>
      </c>
      <c r="J46" t="str">
        <f t="shared" si="20"/>
        <v>1</v>
      </c>
      <c r="K46" t="str">
        <f t="shared" si="20"/>
        <v>1</v>
      </c>
      <c r="L46" t="str">
        <f t="shared" si="20"/>
        <v>0</v>
      </c>
      <c r="M46" t="str">
        <f t="shared" si="20"/>
        <v>0</v>
      </c>
      <c r="N46" t="str">
        <f t="shared" si="20"/>
        <v>1</v>
      </c>
      <c r="O46" t="str">
        <f t="shared" si="20"/>
        <v>0</v>
      </c>
      <c r="P46" t="str">
        <f t="shared" si="20"/>
        <v>1</v>
      </c>
      <c r="Q46" t="str">
        <f t="shared" si="20"/>
        <v>0</v>
      </c>
      <c r="R46" t="str">
        <f t="shared" si="20"/>
        <v>0</v>
      </c>
      <c r="S46" t="str">
        <f t="shared" si="20"/>
        <v>0</v>
      </c>
      <c r="T46" t="str">
        <f t="shared" si="20"/>
        <v>0</v>
      </c>
      <c r="U46" t="str">
        <f t="shared" si="20"/>
        <v>1</v>
      </c>
      <c r="V46" t="str">
        <f t="shared" si="20"/>
        <v>1</v>
      </c>
      <c r="W46" t="str">
        <f t="shared" si="20"/>
        <v>0</v>
      </c>
      <c r="X46" t="str">
        <f t="shared" si="20"/>
        <v>0</v>
      </c>
      <c r="Y46" t="str">
        <f t="shared" si="20"/>
        <v>0</v>
      </c>
      <c r="Z46" t="str">
        <f t="shared" si="20"/>
        <v>1</v>
      </c>
      <c r="AA46" t="str">
        <f t="shared" si="20"/>
        <v>0</v>
      </c>
      <c r="AB46" t="str">
        <f t="shared" si="20"/>
        <v>1</v>
      </c>
      <c r="AC46" t="str">
        <f t="shared" si="20"/>
        <v>0</v>
      </c>
      <c r="AD46" t="str">
        <f t="shared" si="20"/>
        <v>1</v>
      </c>
      <c r="AE46" t="str">
        <f t="shared" si="20"/>
        <v>1</v>
      </c>
      <c r="AF46" t="str">
        <f t="shared" si="20"/>
        <v>0</v>
      </c>
      <c r="AG46" t="str">
        <f t="shared" si="20"/>
        <v>1</v>
      </c>
    </row>
    <row r="47" spans="1:33">
      <c r="A47" t="str">
        <f>CONCATENATE("R",C4)</f>
        <v>R2</v>
      </c>
      <c r="B47">
        <f>IF(B44=B46,0,1)</f>
        <v>0</v>
      </c>
      <c r="C47">
        <f t="shared" ref="C47:AG47" si="21">IF(C44=C46,0,1)</f>
        <v>1</v>
      </c>
      <c r="D47">
        <f t="shared" si="21"/>
        <v>0</v>
      </c>
      <c r="E47">
        <f t="shared" si="21"/>
        <v>0</v>
      </c>
      <c r="F47">
        <f t="shared" si="21"/>
        <v>1</v>
      </c>
      <c r="G47">
        <f t="shared" si="21"/>
        <v>0</v>
      </c>
      <c r="H47">
        <f t="shared" si="21"/>
        <v>1</v>
      </c>
      <c r="I47">
        <f t="shared" si="21"/>
        <v>0</v>
      </c>
      <c r="J47">
        <f t="shared" si="21"/>
        <v>0</v>
      </c>
      <c r="K47">
        <f t="shared" si="21"/>
        <v>0</v>
      </c>
      <c r="L47">
        <f t="shared" si="21"/>
        <v>0</v>
      </c>
      <c r="M47">
        <f t="shared" si="21"/>
        <v>1</v>
      </c>
      <c r="N47">
        <f t="shared" si="21"/>
        <v>0</v>
      </c>
      <c r="O47">
        <f t="shared" si="21"/>
        <v>0</v>
      </c>
      <c r="P47">
        <f t="shared" si="21"/>
        <v>1</v>
      </c>
      <c r="Q47">
        <f t="shared" si="21"/>
        <v>0</v>
      </c>
      <c r="R47">
        <f t="shared" si="21"/>
        <v>0</v>
      </c>
      <c r="S47">
        <f t="shared" si="21"/>
        <v>0</v>
      </c>
      <c r="T47">
        <f t="shared" si="21"/>
        <v>0</v>
      </c>
      <c r="U47">
        <f t="shared" si="21"/>
        <v>1</v>
      </c>
      <c r="V47">
        <f t="shared" si="21"/>
        <v>0</v>
      </c>
      <c r="W47">
        <f t="shared" si="21"/>
        <v>0</v>
      </c>
      <c r="X47">
        <f t="shared" si="21"/>
        <v>0</v>
      </c>
      <c r="Y47">
        <f t="shared" si="21"/>
        <v>0</v>
      </c>
      <c r="Z47">
        <f t="shared" si="21"/>
        <v>1</v>
      </c>
      <c r="AA47">
        <f t="shared" si="21"/>
        <v>1</v>
      </c>
      <c r="AB47">
        <f t="shared" si="21"/>
        <v>1</v>
      </c>
      <c r="AC47">
        <f t="shared" si="21"/>
        <v>1</v>
      </c>
      <c r="AD47">
        <f t="shared" si="21"/>
        <v>0</v>
      </c>
      <c r="AE47">
        <f t="shared" si="21"/>
        <v>1</v>
      </c>
      <c r="AF47">
        <f t="shared" si="21"/>
        <v>1</v>
      </c>
      <c r="AG47">
        <f t="shared" si="21"/>
        <v>0</v>
      </c>
    </row>
    <row r="48" spans="1:33">
      <c r="B48" t="str">
        <f>CONCATENATE(B47,C47,D47,E47)</f>
        <v>0100</v>
      </c>
      <c r="F48" t="str">
        <f>CONCATENATE(F47,G47,H47,I47)</f>
        <v>1010</v>
      </c>
      <c r="J48" t="str">
        <f>CONCATENATE(J47,K47,L47,M47)</f>
        <v>0001</v>
      </c>
      <c r="N48" t="str">
        <f>CONCATENATE(N47,O47,P47,Q47)</f>
        <v>0010</v>
      </c>
      <c r="R48" t="str">
        <f>CONCATENATE(R47,S47,T47,U47)</f>
        <v>0001</v>
      </c>
      <c r="V48" t="str">
        <f>CONCATENATE(V47,W47,X47,Y47)</f>
        <v>0000</v>
      </c>
      <c r="Z48" t="str">
        <f>CONCATENATE(Z47,AA47,AB47,AC47)</f>
        <v>1111</v>
      </c>
      <c r="AD48" t="str">
        <f>CONCATENATE(AD47,AE47,AF47,AG47)</f>
        <v>0110</v>
      </c>
    </row>
    <row r="49" spans="1:2">
      <c r="A49" t="str">
        <f>A47</f>
        <v>R2</v>
      </c>
      <c r="B49" t="str">
        <f>CONCATENATE(B48,F48,J48,N48,R48,V48,Z48,AD48)</f>
        <v>01001010000100100001000011110110</v>
      </c>
    </row>
    <row r="50" spans="1:2">
      <c r="A50" t="str">
        <f>CONCATENATE(A49," hex")</f>
        <v>R2 hex</v>
      </c>
      <c r="B50" t="str">
        <f>CONCATENATE(BIN2HEX(B48),BIN2HEX(F48),BIN2HEX(J48),BIN2HEX(N48),BIN2HEX(R48),BIN2HEX(V48),BIN2HEX(Z48),BIN2HEX(AD48))</f>
        <v>4A1210F6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50"/>
  <sheetViews>
    <sheetView topLeftCell="A28" workbookViewId="0">
      <selection activeCell="A28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3</v>
      </c>
    </row>
    <row r="5" spans="1:13">
      <c r="A5" t="str">
        <f>CONCATENATE("K",C4)</f>
        <v>K3</v>
      </c>
      <c r="C5" s="8" t="str">
        <f>Kn!O4</f>
        <v>000001101110110110100100101011001111010110110101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L3   =</v>
      </c>
      <c r="B6" t="str">
        <f>CONCATENATE("R",(C4-1))</f>
        <v>R2</v>
      </c>
      <c r="C6" s="8" t="str">
        <f>'R2'!B49</f>
        <v>01001010000100100001000011110110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E(R2)</v>
      </c>
      <c r="B8">
        <v>1</v>
      </c>
      <c r="C8" s="1" t="str">
        <f t="shared" ref="C8:H15" si="0">MID($C$6,VLOOKUP($B8,E_BIT,C$7+1,FALSE),1)</f>
        <v>0</v>
      </c>
      <c r="D8" s="1" t="str">
        <f t="shared" si="0"/>
        <v>0</v>
      </c>
      <c r="E8" s="1" t="str">
        <f t="shared" si="0"/>
        <v>1</v>
      </c>
      <c r="F8" s="1" t="str">
        <f t="shared" si="0"/>
        <v>0</v>
      </c>
      <c r="G8" s="1" t="str">
        <f t="shared" si="0"/>
        <v>0</v>
      </c>
      <c r="H8" s="1" t="str">
        <f t="shared" si="0"/>
        <v>1</v>
      </c>
      <c r="I8" s="6" t="str">
        <f>CONCATENATE(C8,D8,E8,F8,G8,H8)</f>
        <v>001001</v>
      </c>
    </row>
    <row r="9" spans="1:13">
      <c r="B9">
        <v>2</v>
      </c>
      <c r="C9" s="1" t="str">
        <f t="shared" si="0"/>
        <v>0</v>
      </c>
      <c r="D9" s="1" t="str">
        <f t="shared" si="0"/>
        <v>1</v>
      </c>
      <c r="E9" s="1" t="str">
        <f t="shared" si="0"/>
        <v>0</v>
      </c>
      <c r="F9" s="1" t="str">
        <f t="shared" si="0"/>
        <v>1</v>
      </c>
      <c r="G9" s="1" t="str">
        <f t="shared" si="0"/>
        <v>0</v>
      </c>
      <c r="H9" s="1" t="str">
        <f t="shared" si="0"/>
        <v>0</v>
      </c>
      <c r="I9" s="6" t="str">
        <f t="shared" ref="I9:I15" si="1">CONCATENATE(C9,D9,E9,F9,G9,H9)</f>
        <v>010100</v>
      </c>
    </row>
    <row r="10" spans="1:13">
      <c r="B10">
        <v>3</v>
      </c>
      <c r="C10" s="1" t="str">
        <f t="shared" si="0"/>
        <v>0</v>
      </c>
      <c r="D10" s="1" t="str">
        <f t="shared" si="0"/>
        <v>0</v>
      </c>
      <c r="E10" s="1" t="str">
        <f t="shared" si="0"/>
        <v>0</v>
      </c>
      <c r="F10" s="1" t="str">
        <f t="shared" si="0"/>
        <v>0</v>
      </c>
      <c r="G10" s="1" t="str">
        <f t="shared" si="0"/>
        <v>1</v>
      </c>
      <c r="H10" s="1" t="str">
        <f t="shared" si="0"/>
        <v>0</v>
      </c>
      <c r="I10" s="6" t="str">
        <f t="shared" si="1"/>
        <v>000010</v>
      </c>
    </row>
    <row r="11" spans="1:13">
      <c r="B11">
        <v>4</v>
      </c>
      <c r="C11" s="1" t="str">
        <f t="shared" si="0"/>
        <v>1</v>
      </c>
      <c r="D11" s="1" t="str">
        <f t="shared" si="0"/>
        <v>0</v>
      </c>
      <c r="E11" s="1" t="str">
        <f t="shared" si="0"/>
        <v>0</v>
      </c>
      <c r="F11" s="1" t="str">
        <f t="shared" si="0"/>
        <v>1</v>
      </c>
      <c r="G11" s="1" t="str">
        <f t="shared" si="0"/>
        <v>0</v>
      </c>
      <c r="H11" s="1" t="str">
        <f t="shared" si="0"/>
        <v>0</v>
      </c>
      <c r="I11" s="6" t="str">
        <f t="shared" si="1"/>
        <v>100100</v>
      </c>
    </row>
    <row r="12" spans="1:13">
      <c r="B12">
        <v>5</v>
      </c>
      <c r="C12" s="1" t="str">
        <f t="shared" si="0"/>
        <v>0</v>
      </c>
      <c r="D12" s="1" t="str">
        <f t="shared" si="0"/>
        <v>0</v>
      </c>
      <c r="E12" s="1" t="str">
        <f t="shared" si="0"/>
        <v>0</v>
      </c>
      <c r="F12" s="1" t="str">
        <f t="shared" si="0"/>
        <v>0</v>
      </c>
      <c r="G12" s="1" t="str">
        <f t="shared" si="0"/>
        <v>1</v>
      </c>
      <c r="H12" s="1" t="str">
        <f t="shared" si="0"/>
        <v>0</v>
      </c>
      <c r="I12" s="6" t="str">
        <f t="shared" si="1"/>
        <v>000010</v>
      </c>
    </row>
    <row r="13" spans="1:13">
      <c r="B13">
        <v>6</v>
      </c>
      <c r="C13" s="1" t="str">
        <f t="shared" si="0"/>
        <v>1</v>
      </c>
      <c r="D13" s="1" t="str">
        <f t="shared" si="0"/>
        <v>0</v>
      </c>
      <c r="E13" s="1" t="str">
        <f t="shared" si="0"/>
        <v>0</v>
      </c>
      <c r="F13" s="1" t="str">
        <f t="shared" si="0"/>
        <v>0</v>
      </c>
      <c r="G13" s="1" t="str">
        <f t="shared" si="0"/>
        <v>0</v>
      </c>
      <c r="H13" s="1" t="str">
        <f t="shared" si="0"/>
        <v>1</v>
      </c>
      <c r="I13" s="6" t="str">
        <f t="shared" si="1"/>
        <v>100001</v>
      </c>
    </row>
    <row r="14" spans="1:13">
      <c r="B14">
        <v>7</v>
      </c>
      <c r="C14" s="1" t="str">
        <f t="shared" si="0"/>
        <v>0</v>
      </c>
      <c r="D14" s="1" t="str">
        <f t="shared" si="0"/>
        <v>1</v>
      </c>
      <c r="E14" s="1" t="str">
        <f t="shared" si="0"/>
        <v>1</v>
      </c>
      <c r="F14" s="1" t="str">
        <f t="shared" si="0"/>
        <v>1</v>
      </c>
      <c r="G14" s="1" t="str">
        <f t="shared" si="0"/>
        <v>1</v>
      </c>
      <c r="H14" s="1" t="str">
        <f t="shared" si="0"/>
        <v>0</v>
      </c>
      <c r="I14" s="6" t="str">
        <f t="shared" si="1"/>
        <v>011110</v>
      </c>
    </row>
    <row r="15" spans="1:13">
      <c r="B15">
        <v>8</v>
      </c>
      <c r="C15" s="1" t="str">
        <f t="shared" si="0"/>
        <v>1</v>
      </c>
      <c r="D15" s="1" t="str">
        <f t="shared" si="0"/>
        <v>0</v>
      </c>
      <c r="E15" s="1" t="str">
        <f t="shared" si="0"/>
        <v>1</v>
      </c>
      <c r="F15" s="1" t="str">
        <f t="shared" si="0"/>
        <v>1</v>
      </c>
      <c r="G15" s="1" t="str">
        <f t="shared" si="0"/>
        <v>0</v>
      </c>
      <c r="H15" s="1" t="str">
        <f t="shared" si="0"/>
        <v>0</v>
      </c>
      <c r="I15" s="6" t="str">
        <f t="shared" si="1"/>
        <v>101100</v>
      </c>
    </row>
    <row r="16" spans="1:13">
      <c r="A16" t="str">
        <f>A8</f>
        <v>E(R2)</v>
      </c>
      <c r="B16" t="str">
        <f>CONCATENATE(I8,I9,I10,I11,I12,I13,I14,I15)</f>
        <v>001001010100000010100100000010100001011110101100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K3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0</v>
      </c>
      <c r="E19" t="str">
        <f t="shared" si="2"/>
        <v>0</v>
      </c>
      <c r="F19" t="str">
        <f t="shared" si="2"/>
        <v>0</v>
      </c>
      <c r="G19" t="str">
        <f t="shared" si="2"/>
        <v>1</v>
      </c>
      <c r="H19" t="str">
        <f t="shared" si="2"/>
        <v>1</v>
      </c>
      <c r="I19" t="str">
        <f t="shared" si="2"/>
        <v>0</v>
      </c>
      <c r="J19" t="str">
        <f t="shared" si="2"/>
        <v>1</v>
      </c>
      <c r="K19" t="str">
        <f t="shared" si="2"/>
        <v>1</v>
      </c>
      <c r="L19" t="str">
        <f t="shared" si="2"/>
        <v>1</v>
      </c>
      <c r="M19" t="str">
        <f t="shared" si="2"/>
        <v>0</v>
      </c>
      <c r="N19" t="str">
        <f t="shared" si="2"/>
        <v>1</v>
      </c>
      <c r="O19" t="str">
        <f t="shared" si="2"/>
        <v>1</v>
      </c>
      <c r="P19" t="str">
        <f t="shared" si="2"/>
        <v>0</v>
      </c>
      <c r="Q19" t="str">
        <f t="shared" si="2"/>
        <v>1</v>
      </c>
      <c r="R19" t="str">
        <f t="shared" si="2"/>
        <v>1</v>
      </c>
      <c r="S19" t="str">
        <f t="shared" si="2"/>
        <v>0</v>
      </c>
      <c r="T19" t="str">
        <f t="shared" si="2"/>
        <v>1</v>
      </c>
      <c r="U19" t="str">
        <f t="shared" si="2"/>
        <v>0</v>
      </c>
      <c r="V19" t="str">
        <f t="shared" si="2"/>
        <v>0</v>
      </c>
      <c r="W19" t="str">
        <f t="shared" si="2"/>
        <v>1</v>
      </c>
      <c r="X19" t="str">
        <f t="shared" si="2"/>
        <v>0</v>
      </c>
      <c r="Y19" t="str">
        <f t="shared" si="2"/>
        <v>0</v>
      </c>
      <c r="Z19" t="str">
        <f t="shared" si="2"/>
        <v>1</v>
      </c>
      <c r="AA19" t="str">
        <f t="shared" si="2"/>
        <v>0</v>
      </c>
      <c r="AB19" t="str">
        <f t="shared" si="2"/>
        <v>1</v>
      </c>
      <c r="AC19" t="str">
        <f t="shared" si="2"/>
        <v>0</v>
      </c>
      <c r="AD19" t="str">
        <f t="shared" si="2"/>
        <v>1</v>
      </c>
      <c r="AE19" t="str">
        <f t="shared" si="2"/>
        <v>1</v>
      </c>
      <c r="AF19" t="str">
        <f t="shared" si="2"/>
        <v>0</v>
      </c>
      <c r="AG19" t="str">
        <f t="shared" si="2"/>
        <v>0</v>
      </c>
      <c r="AH19" t="str">
        <f t="shared" si="2"/>
        <v>1</v>
      </c>
      <c r="AI19" t="str">
        <f t="shared" si="2"/>
        <v>1</v>
      </c>
      <c r="AJ19" t="str">
        <f t="shared" si="2"/>
        <v>1</v>
      </c>
      <c r="AK19" t="str">
        <f t="shared" si="2"/>
        <v>1</v>
      </c>
      <c r="AL19" t="str">
        <f t="shared" si="2"/>
        <v>0</v>
      </c>
      <c r="AM19" t="str">
        <f t="shared" si="2"/>
        <v>1</v>
      </c>
      <c r="AN19" t="str">
        <f t="shared" si="2"/>
        <v>0</v>
      </c>
      <c r="AO19" t="str">
        <f t="shared" si="2"/>
        <v>1</v>
      </c>
      <c r="AP19" t="str">
        <f t="shared" si="2"/>
        <v>1</v>
      </c>
      <c r="AQ19" t="str">
        <f t="shared" si="2"/>
        <v>0</v>
      </c>
      <c r="AR19" t="str">
        <f t="shared" si="2"/>
        <v>1</v>
      </c>
      <c r="AS19" t="str">
        <f t="shared" si="2"/>
        <v>1</v>
      </c>
      <c r="AT19" t="str">
        <f t="shared" si="2"/>
        <v>0</v>
      </c>
      <c r="AU19" t="str">
        <f t="shared" si="2"/>
        <v>1</v>
      </c>
      <c r="AV19" t="str">
        <f t="shared" si="2"/>
        <v>0</v>
      </c>
      <c r="AW19" t="str">
        <f t="shared" si="2"/>
        <v>1</v>
      </c>
    </row>
    <row r="20" spans="1:49">
      <c r="A20" t="str">
        <f>A16</f>
        <v>E(R2)</v>
      </c>
      <c r="B20" t="str">
        <f>MID($B$16,B18,1)</f>
        <v>0</v>
      </c>
      <c r="C20" t="str">
        <f t="shared" ref="C20:AW20" si="3">MID($B$16,C18,1)</f>
        <v>0</v>
      </c>
      <c r="D20" t="str">
        <f t="shared" si="3"/>
        <v>1</v>
      </c>
      <c r="E20" t="str">
        <f t="shared" si="3"/>
        <v>0</v>
      </c>
      <c r="F20" t="str">
        <f t="shared" si="3"/>
        <v>0</v>
      </c>
      <c r="G20" t="str">
        <f t="shared" si="3"/>
        <v>1</v>
      </c>
      <c r="H20" t="str">
        <f t="shared" si="3"/>
        <v>0</v>
      </c>
      <c r="I20" t="str">
        <f t="shared" si="3"/>
        <v>1</v>
      </c>
      <c r="J20" t="str">
        <f t="shared" si="3"/>
        <v>0</v>
      </c>
      <c r="K20" t="str">
        <f t="shared" si="3"/>
        <v>1</v>
      </c>
      <c r="L20" t="str">
        <f t="shared" si="3"/>
        <v>0</v>
      </c>
      <c r="M20" t="str">
        <f t="shared" si="3"/>
        <v>0</v>
      </c>
      <c r="N20" t="str">
        <f t="shared" si="3"/>
        <v>0</v>
      </c>
      <c r="O20" t="str">
        <f t="shared" si="3"/>
        <v>0</v>
      </c>
      <c r="P20" t="str">
        <f t="shared" si="3"/>
        <v>0</v>
      </c>
      <c r="Q20" t="str">
        <f t="shared" si="3"/>
        <v>0</v>
      </c>
      <c r="R20" t="str">
        <f t="shared" si="3"/>
        <v>1</v>
      </c>
      <c r="S20" t="str">
        <f t="shared" si="3"/>
        <v>0</v>
      </c>
      <c r="T20" t="str">
        <f t="shared" si="3"/>
        <v>1</v>
      </c>
      <c r="U20" t="str">
        <f t="shared" si="3"/>
        <v>0</v>
      </c>
      <c r="V20" t="str">
        <f t="shared" si="3"/>
        <v>0</v>
      </c>
      <c r="W20" t="str">
        <f t="shared" si="3"/>
        <v>1</v>
      </c>
      <c r="X20" t="str">
        <f t="shared" si="3"/>
        <v>0</v>
      </c>
      <c r="Y20" t="str">
        <f t="shared" si="3"/>
        <v>0</v>
      </c>
      <c r="Z20" t="str">
        <f t="shared" si="3"/>
        <v>0</v>
      </c>
      <c r="AA20" t="str">
        <f t="shared" si="3"/>
        <v>0</v>
      </c>
      <c r="AB20" t="str">
        <f t="shared" si="3"/>
        <v>0</v>
      </c>
      <c r="AC20" t="str">
        <f t="shared" si="3"/>
        <v>0</v>
      </c>
      <c r="AD20" t="str">
        <f t="shared" si="3"/>
        <v>1</v>
      </c>
      <c r="AE20" t="str">
        <f t="shared" si="3"/>
        <v>0</v>
      </c>
      <c r="AF20" t="str">
        <f t="shared" si="3"/>
        <v>1</v>
      </c>
      <c r="AG20" t="str">
        <f t="shared" si="3"/>
        <v>0</v>
      </c>
      <c r="AH20" t="str">
        <f t="shared" si="3"/>
        <v>0</v>
      </c>
      <c r="AI20" t="str">
        <f t="shared" si="3"/>
        <v>0</v>
      </c>
      <c r="AJ20" t="str">
        <f t="shared" si="3"/>
        <v>0</v>
      </c>
      <c r="AK20" t="str">
        <f t="shared" si="3"/>
        <v>1</v>
      </c>
      <c r="AL20" t="str">
        <f t="shared" si="3"/>
        <v>0</v>
      </c>
      <c r="AM20" t="str">
        <f t="shared" si="3"/>
        <v>1</v>
      </c>
      <c r="AN20" t="str">
        <f t="shared" si="3"/>
        <v>1</v>
      </c>
      <c r="AO20" t="str">
        <f t="shared" si="3"/>
        <v>1</v>
      </c>
      <c r="AP20" t="str">
        <f t="shared" si="3"/>
        <v>1</v>
      </c>
      <c r="AQ20" t="str">
        <f t="shared" si="3"/>
        <v>0</v>
      </c>
      <c r="AR20" t="str">
        <f t="shared" si="3"/>
        <v>1</v>
      </c>
      <c r="AS20" t="str">
        <f t="shared" si="3"/>
        <v>0</v>
      </c>
      <c r="AT20" t="str">
        <f t="shared" si="3"/>
        <v>1</v>
      </c>
      <c r="AU20" t="str">
        <f t="shared" si="3"/>
        <v>1</v>
      </c>
      <c r="AV20" t="str">
        <f t="shared" si="3"/>
        <v>0</v>
      </c>
      <c r="AW20" t="str">
        <f t="shared" si="3"/>
        <v>0</v>
      </c>
    </row>
    <row r="21" spans="1:49">
      <c r="A21" s="6" t="str">
        <f>CONCATENATE(A19," + ",A20)</f>
        <v>K3 + E(R2)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1</v>
      </c>
      <c r="E21" s="1">
        <f t="shared" si="4"/>
        <v>0</v>
      </c>
      <c r="F21" s="1">
        <f t="shared" si="4"/>
        <v>0</v>
      </c>
      <c r="G21" s="1">
        <f t="shared" si="4"/>
        <v>0</v>
      </c>
      <c r="H21" s="1">
        <f t="shared" si="4"/>
        <v>1</v>
      </c>
      <c r="I21" s="1">
        <f t="shared" si="4"/>
        <v>1</v>
      </c>
      <c r="J21" s="1">
        <f t="shared" si="4"/>
        <v>1</v>
      </c>
      <c r="K21" s="1">
        <f t="shared" si="4"/>
        <v>0</v>
      </c>
      <c r="L21" s="1">
        <f t="shared" si="4"/>
        <v>1</v>
      </c>
      <c r="M21" s="1">
        <f t="shared" si="4"/>
        <v>0</v>
      </c>
      <c r="N21" s="1">
        <f t="shared" si="4"/>
        <v>1</v>
      </c>
      <c r="O21" s="1">
        <f t="shared" si="4"/>
        <v>1</v>
      </c>
      <c r="P21" s="1">
        <f t="shared" si="4"/>
        <v>0</v>
      </c>
      <c r="Q21" s="1">
        <f t="shared" si="4"/>
        <v>1</v>
      </c>
      <c r="R21" s="1">
        <f t="shared" si="4"/>
        <v>0</v>
      </c>
      <c r="S21" s="1">
        <f t="shared" si="4"/>
        <v>0</v>
      </c>
      <c r="T21" s="1">
        <f t="shared" si="4"/>
        <v>0</v>
      </c>
      <c r="U21" s="1">
        <f t="shared" si="4"/>
        <v>0</v>
      </c>
      <c r="V21" s="1">
        <f t="shared" si="4"/>
        <v>0</v>
      </c>
      <c r="W21" s="1">
        <f t="shared" si="4"/>
        <v>0</v>
      </c>
      <c r="X21" s="1">
        <f t="shared" si="4"/>
        <v>0</v>
      </c>
      <c r="Y21" s="1">
        <f t="shared" si="4"/>
        <v>0</v>
      </c>
      <c r="Z21" s="1">
        <f t="shared" si="4"/>
        <v>1</v>
      </c>
      <c r="AA21" s="1">
        <f t="shared" si="4"/>
        <v>0</v>
      </c>
      <c r="AB21" s="1">
        <f t="shared" si="4"/>
        <v>1</v>
      </c>
      <c r="AC21" s="1">
        <f t="shared" si="4"/>
        <v>0</v>
      </c>
      <c r="AD21" s="1">
        <f t="shared" si="4"/>
        <v>0</v>
      </c>
      <c r="AE21" s="1">
        <f t="shared" si="4"/>
        <v>1</v>
      </c>
      <c r="AF21" s="1">
        <f t="shared" si="4"/>
        <v>1</v>
      </c>
      <c r="AG21" s="1">
        <f t="shared" si="4"/>
        <v>0</v>
      </c>
      <c r="AH21" s="1">
        <f t="shared" si="4"/>
        <v>1</v>
      </c>
      <c r="AI21" s="1">
        <f t="shared" si="4"/>
        <v>1</v>
      </c>
      <c r="AJ21" s="1">
        <f t="shared" si="4"/>
        <v>1</v>
      </c>
      <c r="AK21" s="1">
        <f t="shared" si="4"/>
        <v>0</v>
      </c>
      <c r="AL21" s="1">
        <f t="shared" si="4"/>
        <v>0</v>
      </c>
      <c r="AM21" s="1">
        <f t="shared" si="4"/>
        <v>0</v>
      </c>
      <c r="AN21" s="1">
        <f t="shared" si="4"/>
        <v>1</v>
      </c>
      <c r="AO21" s="1">
        <f t="shared" si="4"/>
        <v>0</v>
      </c>
      <c r="AP21" s="1">
        <f t="shared" si="4"/>
        <v>0</v>
      </c>
      <c r="AQ21" s="1">
        <f t="shared" si="4"/>
        <v>0</v>
      </c>
      <c r="AR21" s="1">
        <f t="shared" si="4"/>
        <v>0</v>
      </c>
      <c r="AS21" s="1">
        <f t="shared" si="4"/>
        <v>1</v>
      </c>
      <c r="AT21" s="1">
        <f t="shared" si="4"/>
        <v>1</v>
      </c>
      <c r="AU21" s="1">
        <f t="shared" si="4"/>
        <v>0</v>
      </c>
      <c r="AV21" s="1">
        <f t="shared" si="4"/>
        <v>0</v>
      </c>
      <c r="AW21" s="1">
        <f t="shared" si="4"/>
        <v>1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1</v>
      </c>
      <c r="E23">
        <f t="shared" si="5"/>
        <v>0</v>
      </c>
      <c r="F23">
        <f t="shared" si="5"/>
        <v>0</v>
      </c>
      <c r="G23">
        <f t="shared" si="5"/>
        <v>0</v>
      </c>
      <c r="H23" t="str">
        <f>CONCATENATE(B23,G23)</f>
        <v>00</v>
      </c>
      <c r="I23" t="str">
        <f>CONCATENATE(C23,D23,E23,F23)</f>
        <v>0100</v>
      </c>
      <c r="J23">
        <f>BIN2DEC(H23)</f>
        <v>0</v>
      </c>
      <c r="K23">
        <f>BIN2DEC(I23)</f>
        <v>4</v>
      </c>
      <c r="L23">
        <f>VLOOKUP(J23,S1_BOX,K23+2,FALSE)</f>
        <v>2</v>
      </c>
      <c r="M23" t="str">
        <f>DEC2BIN(L23,4)</f>
        <v>0010</v>
      </c>
    </row>
    <row r="24" spans="1:49">
      <c r="A24" t="s">
        <v>155</v>
      </c>
      <c r="B24">
        <f>H21</f>
        <v>1</v>
      </c>
      <c r="C24">
        <f t="shared" ref="C24:G24" si="6">I21</f>
        <v>1</v>
      </c>
      <c r="D24">
        <f t="shared" si="6"/>
        <v>1</v>
      </c>
      <c r="E24">
        <f t="shared" si="6"/>
        <v>0</v>
      </c>
      <c r="F24">
        <f t="shared" si="6"/>
        <v>1</v>
      </c>
      <c r="G24">
        <f t="shared" si="6"/>
        <v>0</v>
      </c>
      <c r="H24" t="str">
        <f t="shared" ref="H24:H30" si="7">CONCATENATE(B24,G24)</f>
        <v>10</v>
      </c>
      <c r="I24" t="str">
        <f t="shared" ref="I24:I30" si="8">CONCATENATE(C24,D24,E24,F24)</f>
        <v>1101</v>
      </c>
      <c r="J24">
        <f t="shared" ref="J24:K30" si="9">BIN2DEC(H24)</f>
        <v>2</v>
      </c>
      <c r="K24">
        <f t="shared" si="9"/>
        <v>13</v>
      </c>
      <c r="L24">
        <f>VLOOKUP(J24,S2_BOX,K24+2,FALSE)</f>
        <v>3</v>
      </c>
      <c r="M24" t="str">
        <f t="shared" ref="M24:M30" si="10">DEC2BIN(L24,4)</f>
        <v>0011</v>
      </c>
    </row>
    <row r="25" spans="1:49">
      <c r="A25" t="s">
        <v>156</v>
      </c>
      <c r="B25">
        <f>N21</f>
        <v>1</v>
      </c>
      <c r="C25">
        <f t="shared" ref="C25:G25" si="11">O21</f>
        <v>1</v>
      </c>
      <c r="D25">
        <f t="shared" si="11"/>
        <v>0</v>
      </c>
      <c r="E25">
        <f t="shared" si="11"/>
        <v>1</v>
      </c>
      <c r="F25">
        <f t="shared" si="11"/>
        <v>0</v>
      </c>
      <c r="G25">
        <f t="shared" si="11"/>
        <v>0</v>
      </c>
      <c r="H25" t="str">
        <f t="shared" si="7"/>
        <v>10</v>
      </c>
      <c r="I25" t="str">
        <f t="shared" si="8"/>
        <v>1010</v>
      </c>
      <c r="J25">
        <f t="shared" si="9"/>
        <v>2</v>
      </c>
      <c r="K25">
        <f t="shared" si="9"/>
        <v>10</v>
      </c>
      <c r="L25">
        <f>VLOOKUP(J25,S3_BOX,K25+2,FALSE)</f>
        <v>2</v>
      </c>
      <c r="M25" t="str">
        <f t="shared" si="10"/>
        <v>0010</v>
      </c>
    </row>
    <row r="26" spans="1:49">
      <c r="A26" t="s">
        <v>157</v>
      </c>
      <c r="B26">
        <f>T21</f>
        <v>0</v>
      </c>
      <c r="C26">
        <f t="shared" ref="C26:G26" si="12">U21</f>
        <v>0</v>
      </c>
      <c r="D26">
        <f t="shared" si="12"/>
        <v>0</v>
      </c>
      <c r="E26">
        <f t="shared" si="12"/>
        <v>0</v>
      </c>
      <c r="F26">
        <f t="shared" si="12"/>
        <v>0</v>
      </c>
      <c r="G26">
        <f t="shared" si="12"/>
        <v>0</v>
      </c>
      <c r="H26" t="str">
        <f t="shared" si="7"/>
        <v>00</v>
      </c>
      <c r="I26" t="str">
        <f t="shared" si="8"/>
        <v>0000</v>
      </c>
      <c r="J26">
        <f t="shared" si="9"/>
        <v>0</v>
      </c>
      <c r="K26">
        <f t="shared" si="9"/>
        <v>0</v>
      </c>
      <c r="L26">
        <f>VLOOKUP(J26,S4_BOX,K26+2,FALSE)</f>
        <v>7</v>
      </c>
      <c r="M26" t="str">
        <f t="shared" si="10"/>
        <v>0111</v>
      </c>
    </row>
    <row r="27" spans="1:49">
      <c r="A27" t="s">
        <v>158</v>
      </c>
      <c r="B27">
        <f>Z21</f>
        <v>1</v>
      </c>
      <c r="C27">
        <f t="shared" ref="C27:G27" si="13">AA21</f>
        <v>0</v>
      </c>
      <c r="D27">
        <f t="shared" si="13"/>
        <v>1</v>
      </c>
      <c r="E27">
        <f t="shared" si="13"/>
        <v>0</v>
      </c>
      <c r="F27">
        <f t="shared" si="13"/>
        <v>0</v>
      </c>
      <c r="G27">
        <f t="shared" si="13"/>
        <v>1</v>
      </c>
      <c r="H27" t="str">
        <f t="shared" si="7"/>
        <v>11</v>
      </c>
      <c r="I27" t="str">
        <f t="shared" si="8"/>
        <v>0100</v>
      </c>
      <c r="J27">
        <f t="shared" si="9"/>
        <v>3</v>
      </c>
      <c r="K27">
        <f t="shared" si="9"/>
        <v>4</v>
      </c>
      <c r="L27">
        <f>VLOOKUP(J27,S5_BOX,K27+2,FALSE)</f>
        <v>1</v>
      </c>
      <c r="M27" t="str">
        <f t="shared" si="10"/>
        <v>0001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1</v>
      </c>
      <c r="E28">
        <f t="shared" si="14"/>
        <v>1</v>
      </c>
      <c r="F28">
        <f t="shared" si="14"/>
        <v>1</v>
      </c>
      <c r="G28">
        <f t="shared" si="14"/>
        <v>0</v>
      </c>
      <c r="H28" t="str">
        <f t="shared" si="7"/>
        <v>10</v>
      </c>
      <c r="I28" t="str">
        <f t="shared" si="8"/>
        <v>0111</v>
      </c>
      <c r="J28">
        <f t="shared" si="9"/>
        <v>2</v>
      </c>
      <c r="K28">
        <f t="shared" si="9"/>
        <v>7</v>
      </c>
      <c r="L28">
        <f>VLOOKUP(J28,S6_BOX,K28+2,FALSE)</f>
        <v>3</v>
      </c>
      <c r="M28" t="str">
        <f t="shared" si="10"/>
        <v>0011</v>
      </c>
    </row>
    <row r="29" spans="1:49">
      <c r="A29" t="s">
        <v>160</v>
      </c>
      <c r="B29">
        <f>AL21</f>
        <v>0</v>
      </c>
      <c r="C29">
        <f t="shared" ref="C29:G29" si="15">AM21</f>
        <v>0</v>
      </c>
      <c r="D29">
        <f t="shared" si="15"/>
        <v>1</v>
      </c>
      <c r="E29">
        <f t="shared" si="15"/>
        <v>0</v>
      </c>
      <c r="F29">
        <f t="shared" si="15"/>
        <v>0</v>
      </c>
      <c r="G29">
        <f t="shared" si="15"/>
        <v>0</v>
      </c>
      <c r="H29" t="str">
        <f t="shared" si="7"/>
        <v>00</v>
      </c>
      <c r="I29" t="str">
        <f t="shared" si="8"/>
        <v>0100</v>
      </c>
      <c r="J29">
        <f t="shared" si="9"/>
        <v>0</v>
      </c>
      <c r="K29">
        <f t="shared" si="9"/>
        <v>4</v>
      </c>
      <c r="L29">
        <f>VLOOKUP(J29,S7_BOX,K29+2,FALSE)</f>
        <v>15</v>
      </c>
      <c r="M29" t="str">
        <f t="shared" si="10"/>
        <v>1111</v>
      </c>
    </row>
    <row r="30" spans="1:49">
      <c r="A30" t="s">
        <v>161</v>
      </c>
      <c r="B30">
        <f>AR21</f>
        <v>0</v>
      </c>
      <c r="C30">
        <f t="shared" ref="C30:G30" si="16">AS21</f>
        <v>1</v>
      </c>
      <c r="D30">
        <f t="shared" si="16"/>
        <v>1</v>
      </c>
      <c r="E30">
        <f t="shared" si="16"/>
        <v>0</v>
      </c>
      <c r="F30">
        <f t="shared" si="16"/>
        <v>0</v>
      </c>
      <c r="G30">
        <f t="shared" si="16"/>
        <v>1</v>
      </c>
      <c r="H30" t="str">
        <f t="shared" si="7"/>
        <v>01</v>
      </c>
      <c r="I30" t="str">
        <f t="shared" si="8"/>
        <v>1100</v>
      </c>
      <c r="J30">
        <f t="shared" si="9"/>
        <v>1</v>
      </c>
      <c r="K30">
        <f t="shared" si="9"/>
        <v>12</v>
      </c>
      <c r="L30">
        <f>VLOOKUP(J30,S8_BOX,K30+2,FALSE)</f>
        <v>0</v>
      </c>
      <c r="M30" t="str">
        <f t="shared" si="10"/>
        <v>0000</v>
      </c>
    </row>
    <row r="31" spans="1:49">
      <c r="A31" t="s">
        <v>162</v>
      </c>
      <c r="B31" t="str">
        <f>CONCATENATE(M23,M24,M25,M26,M27,M28,M29,M30)</f>
        <v>00100011001001110001001111110000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1</v>
      </c>
      <c r="E34" t="str">
        <f t="shared" si="17"/>
        <v>1</v>
      </c>
      <c r="F34" t="str">
        <f t="shared" si="17"/>
        <v>0</v>
      </c>
      <c r="G34" t="str">
        <f>CONCATENATE(C34,D34,E34,F34)</f>
        <v>1110</v>
      </c>
    </row>
    <row r="35" spans="1:33">
      <c r="B35">
        <v>2</v>
      </c>
      <c r="C35" t="str">
        <f t="shared" si="17"/>
        <v>0</v>
      </c>
      <c r="D35" t="str">
        <f t="shared" si="17"/>
        <v>0</v>
      </c>
      <c r="E35" t="str">
        <f t="shared" si="17"/>
        <v>1</v>
      </c>
      <c r="F35" t="str">
        <f t="shared" si="17"/>
        <v>0</v>
      </c>
      <c r="G35" t="str">
        <f t="shared" ref="G35:G41" si="18">CONCATENATE(C35,D35,E35,F35)</f>
        <v>0010</v>
      </c>
    </row>
    <row r="36" spans="1:33">
      <c r="B36">
        <v>3</v>
      </c>
      <c r="C36" t="str">
        <f t="shared" si="17"/>
        <v>0</v>
      </c>
      <c r="D36" t="str">
        <f t="shared" si="17"/>
        <v>1</v>
      </c>
      <c r="E36" t="str">
        <f t="shared" si="17"/>
        <v>1</v>
      </c>
      <c r="F36" t="str">
        <f t="shared" si="17"/>
        <v>1</v>
      </c>
      <c r="G36" t="str">
        <f t="shared" si="18"/>
        <v>0111</v>
      </c>
    </row>
    <row r="37" spans="1:33">
      <c r="B37">
        <v>4</v>
      </c>
      <c r="C37" t="str">
        <f t="shared" si="17"/>
        <v>0</v>
      </c>
      <c r="D37" t="str">
        <f t="shared" si="17"/>
        <v>0</v>
      </c>
      <c r="E37" t="str">
        <f t="shared" si="17"/>
        <v>0</v>
      </c>
      <c r="F37" t="str">
        <f t="shared" si="17"/>
        <v>0</v>
      </c>
      <c r="G37" t="str">
        <f t="shared" si="18"/>
        <v>0000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1</v>
      </c>
      <c r="F38" t="str">
        <f t="shared" si="17"/>
        <v>1</v>
      </c>
      <c r="G38" t="str">
        <f t="shared" si="18"/>
        <v>0111</v>
      </c>
    </row>
    <row r="39" spans="1:33">
      <c r="B39">
        <v>6</v>
      </c>
      <c r="C39" t="str">
        <f t="shared" si="17"/>
        <v>0</v>
      </c>
      <c r="D39" t="str">
        <f t="shared" si="17"/>
        <v>1</v>
      </c>
      <c r="E39" t="str">
        <f t="shared" si="17"/>
        <v>1</v>
      </c>
      <c r="F39" t="str">
        <f t="shared" si="17"/>
        <v>0</v>
      </c>
      <c r="G39" t="str">
        <f t="shared" si="18"/>
        <v>0110</v>
      </c>
    </row>
    <row r="40" spans="1:33">
      <c r="B40">
        <v>7</v>
      </c>
      <c r="C40" t="str">
        <f t="shared" si="17"/>
        <v>0</v>
      </c>
      <c r="D40" t="str">
        <f t="shared" si="17"/>
        <v>0</v>
      </c>
      <c r="E40" t="str">
        <f t="shared" si="17"/>
        <v>0</v>
      </c>
      <c r="F40" t="str">
        <f t="shared" si="17"/>
        <v>0</v>
      </c>
      <c r="G40" t="str">
        <f t="shared" si="18"/>
        <v>0000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0</v>
      </c>
      <c r="F41" t="str">
        <f t="shared" si="17"/>
        <v>1</v>
      </c>
      <c r="G41" t="str">
        <f t="shared" si="18"/>
        <v>0101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11100010011100000111011000000101</v>
      </c>
    </row>
    <row r="44" spans="1:33">
      <c r="B44" t="str">
        <f>MID($B$43,B42,1)</f>
        <v>1</v>
      </c>
      <c r="C44" t="str">
        <f t="shared" ref="C44:AG44" si="19">MID($B$43,C42,1)</f>
        <v>1</v>
      </c>
      <c r="D44" t="str">
        <f t="shared" si="19"/>
        <v>1</v>
      </c>
      <c r="E44" t="str">
        <f t="shared" si="19"/>
        <v>0</v>
      </c>
      <c r="F44" t="str">
        <f t="shared" si="19"/>
        <v>0</v>
      </c>
      <c r="G44" t="str">
        <f t="shared" si="19"/>
        <v>0</v>
      </c>
      <c r="H44" t="str">
        <f t="shared" si="19"/>
        <v>1</v>
      </c>
      <c r="I44" t="str">
        <f t="shared" si="19"/>
        <v>0</v>
      </c>
      <c r="J44" t="str">
        <f t="shared" si="19"/>
        <v>0</v>
      </c>
      <c r="K44" t="str">
        <f t="shared" si="19"/>
        <v>1</v>
      </c>
      <c r="L44" t="str">
        <f t="shared" si="19"/>
        <v>1</v>
      </c>
      <c r="M44" t="str">
        <f t="shared" si="19"/>
        <v>1</v>
      </c>
      <c r="N44" t="str">
        <f t="shared" si="19"/>
        <v>0</v>
      </c>
      <c r="O44" t="str">
        <f t="shared" si="19"/>
        <v>0</v>
      </c>
      <c r="P44" t="str">
        <f t="shared" si="19"/>
        <v>0</v>
      </c>
      <c r="Q44" t="str">
        <f t="shared" si="19"/>
        <v>0</v>
      </c>
      <c r="R44" t="str">
        <f t="shared" si="19"/>
        <v>0</v>
      </c>
      <c r="S44" t="str">
        <f t="shared" si="19"/>
        <v>1</v>
      </c>
      <c r="T44" t="str">
        <f t="shared" si="19"/>
        <v>1</v>
      </c>
      <c r="U44" t="str">
        <f t="shared" si="19"/>
        <v>1</v>
      </c>
      <c r="V44" t="str">
        <f t="shared" si="19"/>
        <v>0</v>
      </c>
      <c r="W44" t="str">
        <f t="shared" si="19"/>
        <v>1</v>
      </c>
      <c r="X44" t="str">
        <f t="shared" si="19"/>
        <v>1</v>
      </c>
      <c r="Y44" t="str">
        <f t="shared" si="19"/>
        <v>0</v>
      </c>
      <c r="Z44" t="str">
        <f t="shared" si="19"/>
        <v>0</v>
      </c>
      <c r="AA44" t="str">
        <f t="shared" si="19"/>
        <v>0</v>
      </c>
      <c r="AB44" t="str">
        <f t="shared" si="19"/>
        <v>0</v>
      </c>
      <c r="AC44" t="str">
        <f t="shared" si="19"/>
        <v>0</v>
      </c>
      <c r="AD44" t="str">
        <f t="shared" si="19"/>
        <v>0</v>
      </c>
      <c r="AE44" t="str">
        <f t="shared" si="19"/>
        <v>1</v>
      </c>
      <c r="AF44" t="str">
        <f t="shared" si="19"/>
        <v>0</v>
      </c>
      <c r="AG44" t="str">
        <f t="shared" si="19"/>
        <v>1</v>
      </c>
    </row>
    <row r="45" spans="1:33">
      <c r="A45" t="str">
        <f>CONCATENATE("L",C4-1)</f>
        <v>L2</v>
      </c>
      <c r="B45" s="8" t="str">
        <f>'R2'!C6</f>
        <v>01011010011110001110001110010100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1</v>
      </c>
      <c r="D46" t="str">
        <f t="shared" si="20"/>
        <v>0</v>
      </c>
      <c r="E46" t="str">
        <f t="shared" si="20"/>
        <v>1</v>
      </c>
      <c r="F46" t="str">
        <f t="shared" si="20"/>
        <v>1</v>
      </c>
      <c r="G46" t="str">
        <f t="shared" si="20"/>
        <v>0</v>
      </c>
      <c r="H46" t="str">
        <f t="shared" si="20"/>
        <v>1</v>
      </c>
      <c r="I46" t="str">
        <f t="shared" si="20"/>
        <v>0</v>
      </c>
      <c r="J46" t="str">
        <f t="shared" si="20"/>
        <v>0</v>
      </c>
      <c r="K46" t="str">
        <f t="shared" si="20"/>
        <v>1</v>
      </c>
      <c r="L46" t="str">
        <f t="shared" si="20"/>
        <v>1</v>
      </c>
      <c r="M46" t="str">
        <f t="shared" si="20"/>
        <v>1</v>
      </c>
      <c r="N46" t="str">
        <f t="shared" si="20"/>
        <v>1</v>
      </c>
      <c r="O46" t="str">
        <f t="shared" si="20"/>
        <v>0</v>
      </c>
      <c r="P46" t="str">
        <f t="shared" si="20"/>
        <v>0</v>
      </c>
      <c r="Q46" t="str">
        <f t="shared" si="20"/>
        <v>0</v>
      </c>
      <c r="R46" t="str">
        <f t="shared" si="20"/>
        <v>1</v>
      </c>
      <c r="S46" t="str">
        <f t="shared" si="20"/>
        <v>1</v>
      </c>
      <c r="T46" t="str">
        <f t="shared" si="20"/>
        <v>1</v>
      </c>
      <c r="U46" t="str">
        <f t="shared" si="20"/>
        <v>0</v>
      </c>
      <c r="V46" t="str">
        <f t="shared" si="20"/>
        <v>0</v>
      </c>
      <c r="W46" t="str">
        <f t="shared" si="20"/>
        <v>0</v>
      </c>
      <c r="X46" t="str">
        <f t="shared" si="20"/>
        <v>1</v>
      </c>
      <c r="Y46" t="str">
        <f t="shared" si="20"/>
        <v>1</v>
      </c>
      <c r="Z46" t="str">
        <f t="shared" si="20"/>
        <v>1</v>
      </c>
      <c r="AA46" t="str">
        <f t="shared" si="20"/>
        <v>0</v>
      </c>
      <c r="AB46" t="str">
        <f t="shared" si="20"/>
        <v>0</v>
      </c>
      <c r="AC46" t="str">
        <f t="shared" si="20"/>
        <v>1</v>
      </c>
      <c r="AD46" t="str">
        <f t="shared" si="20"/>
        <v>0</v>
      </c>
      <c r="AE46" t="str">
        <f t="shared" si="20"/>
        <v>1</v>
      </c>
      <c r="AF46" t="str">
        <f t="shared" si="20"/>
        <v>0</v>
      </c>
      <c r="AG46" t="str">
        <f t="shared" si="20"/>
        <v>0</v>
      </c>
    </row>
    <row r="47" spans="1:33">
      <c r="A47" t="str">
        <f>CONCATENATE("R",C4)</f>
        <v>R3</v>
      </c>
      <c r="B47">
        <f>IF(B44=B46,0,1)</f>
        <v>1</v>
      </c>
      <c r="C47">
        <f t="shared" ref="C47:AG47" si="21">IF(C44=C46,0,1)</f>
        <v>0</v>
      </c>
      <c r="D47">
        <f t="shared" si="21"/>
        <v>1</v>
      </c>
      <c r="E47">
        <f t="shared" si="21"/>
        <v>1</v>
      </c>
      <c r="F47">
        <f t="shared" si="21"/>
        <v>1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0</v>
      </c>
      <c r="K47">
        <f t="shared" si="21"/>
        <v>0</v>
      </c>
      <c r="L47">
        <f t="shared" si="21"/>
        <v>0</v>
      </c>
      <c r="M47">
        <f t="shared" si="21"/>
        <v>0</v>
      </c>
      <c r="N47">
        <f t="shared" si="21"/>
        <v>1</v>
      </c>
      <c r="O47">
        <f t="shared" si="21"/>
        <v>0</v>
      </c>
      <c r="P47">
        <f t="shared" si="21"/>
        <v>0</v>
      </c>
      <c r="Q47">
        <f t="shared" si="21"/>
        <v>0</v>
      </c>
      <c r="R47">
        <f t="shared" si="21"/>
        <v>1</v>
      </c>
      <c r="S47">
        <f t="shared" si="21"/>
        <v>0</v>
      </c>
      <c r="T47">
        <f t="shared" si="21"/>
        <v>0</v>
      </c>
      <c r="U47">
        <f t="shared" si="21"/>
        <v>1</v>
      </c>
      <c r="V47">
        <f t="shared" si="21"/>
        <v>0</v>
      </c>
      <c r="W47">
        <f t="shared" si="21"/>
        <v>1</v>
      </c>
      <c r="X47">
        <f t="shared" si="21"/>
        <v>0</v>
      </c>
      <c r="Y47">
        <f t="shared" si="21"/>
        <v>1</v>
      </c>
      <c r="Z47">
        <f t="shared" si="21"/>
        <v>1</v>
      </c>
      <c r="AA47">
        <f t="shared" si="21"/>
        <v>0</v>
      </c>
      <c r="AB47">
        <f t="shared" si="21"/>
        <v>0</v>
      </c>
      <c r="AC47">
        <f t="shared" si="21"/>
        <v>1</v>
      </c>
      <c r="AD47">
        <f t="shared" si="21"/>
        <v>0</v>
      </c>
      <c r="AE47">
        <f t="shared" si="21"/>
        <v>0</v>
      </c>
      <c r="AF47">
        <f t="shared" si="21"/>
        <v>0</v>
      </c>
      <c r="AG47">
        <f t="shared" si="21"/>
        <v>1</v>
      </c>
    </row>
    <row r="48" spans="1:33">
      <c r="B48" t="str">
        <f>CONCATENATE(B47,C47,D47,E47)</f>
        <v>1011</v>
      </c>
      <c r="F48" t="str">
        <f>CONCATENATE(F47,G47,H47,I47)</f>
        <v>1000</v>
      </c>
      <c r="J48" t="str">
        <f>CONCATENATE(J47,K47,L47,M47)</f>
        <v>0000</v>
      </c>
      <c r="N48" t="str">
        <f>CONCATENATE(N47,O47,P47,Q47)</f>
        <v>1000</v>
      </c>
      <c r="R48" t="str">
        <f>CONCATENATE(R47,S47,T47,U47)</f>
        <v>1001</v>
      </c>
      <c r="V48" t="str">
        <f>CONCATENATE(V47,W47,X47,Y47)</f>
        <v>0101</v>
      </c>
      <c r="Z48" t="str">
        <f>CONCATENATE(Z47,AA47,AB47,AC47)</f>
        <v>1001</v>
      </c>
      <c r="AD48" t="str">
        <f>CONCATENATE(AD47,AE47,AF47,AG47)</f>
        <v>0001</v>
      </c>
    </row>
    <row r="49" spans="1:2">
      <c r="A49" t="str">
        <f>A47</f>
        <v>R3</v>
      </c>
      <c r="B49" t="str">
        <f>CONCATENATE(B48,F48,J48,N48,R48,V48,Z48,AD48)</f>
        <v>10111000000010001001010110010001</v>
      </c>
    </row>
    <row r="50" spans="1:2">
      <c r="A50" t="str">
        <f>CONCATENATE(A49," hex")</f>
        <v>R3 hex</v>
      </c>
      <c r="B50" t="str">
        <f>CONCATENATE(BIN2HEX(B48),BIN2HEX(F48),BIN2HEX(J48),BIN2HEX(N48),BIN2HEX(R48),BIN2HEX(V48),BIN2HEX(Z48),BIN2HEX(AD48))</f>
        <v>B8089591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50"/>
  <sheetViews>
    <sheetView workbookViewId="0">
      <selection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4</v>
      </c>
    </row>
    <row r="5" spans="1:13">
      <c r="A5" t="str">
        <f>CONCATENATE("K",C4)</f>
        <v>K4</v>
      </c>
      <c r="C5" s="8" t="str">
        <f>Kn!O5</f>
        <v>110110100010110100000011001010110110111011100011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L4   =</v>
      </c>
      <c r="B6" t="str">
        <f>CONCATENATE("R",(C4-1))</f>
        <v>R3</v>
      </c>
      <c r="C6" s="8" t="str">
        <f>'R3'!B49</f>
        <v>10111000000010001001010110010001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E(R3)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1</v>
      </c>
      <c r="E8" s="1" t="str">
        <f t="shared" si="0"/>
        <v>0</v>
      </c>
      <c r="F8" s="1" t="str">
        <f t="shared" si="0"/>
        <v>1</v>
      </c>
      <c r="G8" s="1" t="str">
        <f t="shared" si="0"/>
        <v>1</v>
      </c>
      <c r="H8" s="1" t="str">
        <f t="shared" si="0"/>
        <v>1</v>
      </c>
      <c r="I8" s="6" t="str">
        <f>CONCATENATE(C8,D8,E8,F8,G8,H8)</f>
        <v>110111</v>
      </c>
    </row>
    <row r="9" spans="1:13">
      <c r="B9">
        <v>2</v>
      </c>
      <c r="C9" s="1" t="str">
        <f t="shared" si="0"/>
        <v>1</v>
      </c>
      <c r="D9" s="1" t="str">
        <f t="shared" si="0"/>
        <v>1</v>
      </c>
      <c r="E9" s="1" t="str">
        <f t="shared" si="0"/>
        <v>0</v>
      </c>
      <c r="F9" s="1" t="str">
        <f t="shared" si="0"/>
        <v>0</v>
      </c>
      <c r="G9" s="1" t="str">
        <f t="shared" si="0"/>
        <v>0</v>
      </c>
      <c r="H9" s="1" t="str">
        <f t="shared" si="0"/>
        <v>0</v>
      </c>
      <c r="I9" s="6" t="str">
        <f t="shared" ref="I9:I15" si="1">CONCATENATE(C9,D9,E9,F9,G9,H9)</f>
        <v>110000</v>
      </c>
    </row>
    <row r="10" spans="1:13">
      <c r="B10">
        <v>3</v>
      </c>
      <c r="C10" s="1" t="str">
        <f t="shared" si="0"/>
        <v>0</v>
      </c>
      <c r="D10" s="1" t="str">
        <f t="shared" si="0"/>
        <v>0</v>
      </c>
      <c r="E10" s="1" t="str">
        <f t="shared" si="0"/>
        <v>0</v>
      </c>
      <c r="F10" s="1" t="str">
        <f t="shared" si="0"/>
        <v>0</v>
      </c>
      <c r="G10" s="1" t="str">
        <f t="shared" si="0"/>
        <v>0</v>
      </c>
      <c r="H10" s="1" t="str">
        <f t="shared" si="0"/>
        <v>1</v>
      </c>
      <c r="I10" s="6" t="str">
        <f t="shared" si="1"/>
        <v>000001</v>
      </c>
    </row>
    <row r="11" spans="1:13">
      <c r="B11">
        <v>4</v>
      </c>
      <c r="C11" s="1" t="str">
        <f t="shared" si="0"/>
        <v>0</v>
      </c>
      <c r="D11" s="1" t="str">
        <f t="shared" si="0"/>
        <v>1</v>
      </c>
      <c r="E11" s="1" t="str">
        <f t="shared" si="0"/>
        <v>0</v>
      </c>
      <c r="F11" s="1" t="str">
        <f t="shared" si="0"/>
        <v>0</v>
      </c>
      <c r="G11" s="1" t="str">
        <f t="shared" si="0"/>
        <v>0</v>
      </c>
      <c r="H11" s="1" t="str">
        <f t="shared" si="0"/>
        <v>1</v>
      </c>
      <c r="I11" s="6" t="str">
        <f t="shared" si="1"/>
        <v>010001</v>
      </c>
    </row>
    <row r="12" spans="1:13">
      <c r="B12">
        <v>5</v>
      </c>
      <c r="C12" s="1" t="str">
        <f t="shared" si="0"/>
        <v>0</v>
      </c>
      <c r="D12" s="1" t="str">
        <f t="shared" si="0"/>
        <v>1</v>
      </c>
      <c r="E12" s="1" t="str">
        <f t="shared" si="0"/>
        <v>0</v>
      </c>
      <c r="F12" s="1" t="str">
        <f t="shared" si="0"/>
        <v>0</v>
      </c>
      <c r="G12" s="1" t="str">
        <f t="shared" si="0"/>
        <v>1</v>
      </c>
      <c r="H12" s="1" t="str">
        <f t="shared" si="0"/>
        <v>0</v>
      </c>
      <c r="I12" s="6" t="str">
        <f t="shared" si="1"/>
        <v>010010</v>
      </c>
    </row>
    <row r="13" spans="1:13">
      <c r="B13">
        <v>6</v>
      </c>
      <c r="C13" s="1" t="str">
        <f t="shared" si="0"/>
        <v>1</v>
      </c>
      <c r="D13" s="1" t="str">
        <f t="shared" si="0"/>
        <v>0</v>
      </c>
      <c r="E13" s="1" t="str">
        <f t="shared" si="0"/>
        <v>1</v>
      </c>
      <c r="F13" s="1" t="str">
        <f t="shared" si="0"/>
        <v>0</v>
      </c>
      <c r="G13" s="1" t="str">
        <f t="shared" si="0"/>
        <v>1</v>
      </c>
      <c r="H13" s="1" t="str">
        <f t="shared" si="0"/>
        <v>1</v>
      </c>
      <c r="I13" s="6" t="str">
        <f t="shared" si="1"/>
        <v>101011</v>
      </c>
    </row>
    <row r="14" spans="1:13">
      <c r="B14">
        <v>7</v>
      </c>
      <c r="C14" s="1" t="str">
        <f t="shared" si="0"/>
        <v>1</v>
      </c>
      <c r="D14" s="1" t="str">
        <f t="shared" si="0"/>
        <v>1</v>
      </c>
      <c r="E14" s="1" t="str">
        <f t="shared" si="0"/>
        <v>0</v>
      </c>
      <c r="F14" s="1" t="str">
        <f t="shared" si="0"/>
        <v>0</v>
      </c>
      <c r="G14" s="1" t="str">
        <f t="shared" si="0"/>
        <v>1</v>
      </c>
      <c r="H14" s="1" t="str">
        <f t="shared" si="0"/>
        <v>0</v>
      </c>
      <c r="I14" s="6" t="str">
        <f t="shared" si="1"/>
        <v>110010</v>
      </c>
    </row>
    <row r="15" spans="1:13">
      <c r="B15">
        <v>8</v>
      </c>
      <c r="C15" s="1" t="str">
        <f t="shared" si="0"/>
        <v>1</v>
      </c>
      <c r="D15" s="1" t="str">
        <f t="shared" si="0"/>
        <v>0</v>
      </c>
      <c r="E15" s="1" t="str">
        <f t="shared" si="0"/>
        <v>0</v>
      </c>
      <c r="F15" s="1" t="str">
        <f t="shared" si="0"/>
        <v>0</v>
      </c>
      <c r="G15" s="1" t="str">
        <f t="shared" si="0"/>
        <v>1</v>
      </c>
      <c r="H15" s="1" t="str">
        <f t="shared" si="0"/>
        <v>1</v>
      </c>
      <c r="I15" s="6" t="str">
        <f t="shared" si="1"/>
        <v>100011</v>
      </c>
    </row>
    <row r="16" spans="1:13">
      <c r="A16" t="str">
        <f>A8</f>
        <v>E(R3)</v>
      </c>
      <c r="B16" t="str">
        <f>CONCATENATE(I8,I9,I10,I11,I12,I13,I14,I15)</f>
        <v>110111110000000001010001010010101011110010100011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K4</v>
      </c>
      <c r="B19" t="str">
        <f>MID($C$5,B18,1)</f>
        <v>1</v>
      </c>
      <c r="C19" t="str">
        <f t="shared" ref="C19:AW19" si="2">MID($C$5,C18,1)</f>
        <v>1</v>
      </c>
      <c r="D19" t="str">
        <f t="shared" si="2"/>
        <v>0</v>
      </c>
      <c r="E19" t="str">
        <f t="shared" si="2"/>
        <v>1</v>
      </c>
      <c r="F19" t="str">
        <f t="shared" si="2"/>
        <v>1</v>
      </c>
      <c r="G19" t="str">
        <f t="shared" si="2"/>
        <v>0</v>
      </c>
      <c r="H19" t="str">
        <f t="shared" si="2"/>
        <v>1</v>
      </c>
      <c r="I19" t="str">
        <f t="shared" si="2"/>
        <v>0</v>
      </c>
      <c r="J19" t="str">
        <f t="shared" si="2"/>
        <v>0</v>
      </c>
      <c r="K19" t="str">
        <f t="shared" si="2"/>
        <v>0</v>
      </c>
      <c r="L19" t="str">
        <f t="shared" si="2"/>
        <v>1</v>
      </c>
      <c r="M19" t="str">
        <f t="shared" si="2"/>
        <v>0</v>
      </c>
      <c r="N19" t="str">
        <f t="shared" si="2"/>
        <v>1</v>
      </c>
      <c r="O19" t="str">
        <f t="shared" si="2"/>
        <v>1</v>
      </c>
      <c r="P19" t="str">
        <f t="shared" si="2"/>
        <v>0</v>
      </c>
      <c r="Q19" t="str">
        <f t="shared" si="2"/>
        <v>1</v>
      </c>
      <c r="R19" t="str">
        <f t="shared" si="2"/>
        <v>0</v>
      </c>
      <c r="S19" t="str">
        <f t="shared" si="2"/>
        <v>0</v>
      </c>
      <c r="T19" t="str">
        <f t="shared" si="2"/>
        <v>0</v>
      </c>
      <c r="U19" t="str">
        <f t="shared" si="2"/>
        <v>0</v>
      </c>
      <c r="V19" t="str">
        <f t="shared" si="2"/>
        <v>0</v>
      </c>
      <c r="W19" t="str">
        <f t="shared" si="2"/>
        <v>0</v>
      </c>
      <c r="X19" t="str">
        <f t="shared" si="2"/>
        <v>1</v>
      </c>
      <c r="Y19" t="str">
        <f t="shared" si="2"/>
        <v>1</v>
      </c>
      <c r="Z19" t="str">
        <f t="shared" si="2"/>
        <v>0</v>
      </c>
      <c r="AA19" t="str">
        <f t="shared" si="2"/>
        <v>0</v>
      </c>
      <c r="AB19" t="str">
        <f t="shared" si="2"/>
        <v>1</v>
      </c>
      <c r="AC19" t="str">
        <f t="shared" si="2"/>
        <v>0</v>
      </c>
      <c r="AD19" t="str">
        <f t="shared" si="2"/>
        <v>1</v>
      </c>
      <c r="AE19" t="str">
        <f t="shared" si="2"/>
        <v>0</v>
      </c>
      <c r="AF19" t="str">
        <f t="shared" si="2"/>
        <v>1</v>
      </c>
      <c r="AG19" t="str">
        <f t="shared" si="2"/>
        <v>1</v>
      </c>
      <c r="AH19" t="str">
        <f t="shared" si="2"/>
        <v>0</v>
      </c>
      <c r="AI19" t="str">
        <f t="shared" si="2"/>
        <v>1</v>
      </c>
      <c r="AJ19" t="str">
        <f t="shared" si="2"/>
        <v>1</v>
      </c>
      <c r="AK19" t="str">
        <f t="shared" si="2"/>
        <v>0</v>
      </c>
      <c r="AL19" t="str">
        <f t="shared" si="2"/>
        <v>1</v>
      </c>
      <c r="AM19" t="str">
        <f t="shared" si="2"/>
        <v>1</v>
      </c>
      <c r="AN19" t="str">
        <f t="shared" si="2"/>
        <v>1</v>
      </c>
      <c r="AO19" t="str">
        <f t="shared" si="2"/>
        <v>0</v>
      </c>
      <c r="AP19" t="str">
        <f t="shared" si="2"/>
        <v>1</v>
      </c>
      <c r="AQ19" t="str">
        <f t="shared" si="2"/>
        <v>1</v>
      </c>
      <c r="AR19" t="str">
        <f t="shared" si="2"/>
        <v>1</v>
      </c>
      <c r="AS19" t="str">
        <f t="shared" si="2"/>
        <v>0</v>
      </c>
      <c r="AT19" t="str">
        <f t="shared" si="2"/>
        <v>0</v>
      </c>
      <c r="AU19" t="str">
        <f t="shared" si="2"/>
        <v>0</v>
      </c>
      <c r="AV19" t="str">
        <f t="shared" si="2"/>
        <v>1</v>
      </c>
      <c r="AW19" t="str">
        <f t="shared" si="2"/>
        <v>1</v>
      </c>
    </row>
    <row r="20" spans="1:49">
      <c r="A20" t="str">
        <f>A16</f>
        <v>E(R3)</v>
      </c>
      <c r="B20" t="str">
        <f>MID($B$16,B18,1)</f>
        <v>1</v>
      </c>
      <c r="C20" t="str">
        <f t="shared" ref="C20:AW20" si="3">MID($B$16,C18,1)</f>
        <v>1</v>
      </c>
      <c r="D20" t="str">
        <f t="shared" si="3"/>
        <v>0</v>
      </c>
      <c r="E20" t="str">
        <f t="shared" si="3"/>
        <v>1</v>
      </c>
      <c r="F20" t="str">
        <f t="shared" si="3"/>
        <v>1</v>
      </c>
      <c r="G20" t="str">
        <f t="shared" si="3"/>
        <v>1</v>
      </c>
      <c r="H20" t="str">
        <f t="shared" si="3"/>
        <v>1</v>
      </c>
      <c r="I20" t="str">
        <f t="shared" si="3"/>
        <v>1</v>
      </c>
      <c r="J20" t="str">
        <f t="shared" si="3"/>
        <v>0</v>
      </c>
      <c r="K20" t="str">
        <f t="shared" si="3"/>
        <v>0</v>
      </c>
      <c r="L20" t="str">
        <f t="shared" si="3"/>
        <v>0</v>
      </c>
      <c r="M20" t="str">
        <f t="shared" si="3"/>
        <v>0</v>
      </c>
      <c r="N20" t="str">
        <f t="shared" si="3"/>
        <v>0</v>
      </c>
      <c r="O20" t="str">
        <f t="shared" si="3"/>
        <v>0</v>
      </c>
      <c r="P20" t="str">
        <f t="shared" si="3"/>
        <v>0</v>
      </c>
      <c r="Q20" t="str">
        <f t="shared" si="3"/>
        <v>0</v>
      </c>
      <c r="R20" t="str">
        <f t="shared" si="3"/>
        <v>0</v>
      </c>
      <c r="S20" t="str">
        <f t="shared" si="3"/>
        <v>1</v>
      </c>
      <c r="T20" t="str">
        <f t="shared" si="3"/>
        <v>0</v>
      </c>
      <c r="U20" t="str">
        <f t="shared" si="3"/>
        <v>1</v>
      </c>
      <c r="V20" t="str">
        <f t="shared" si="3"/>
        <v>0</v>
      </c>
      <c r="W20" t="str">
        <f t="shared" si="3"/>
        <v>0</v>
      </c>
      <c r="X20" t="str">
        <f t="shared" si="3"/>
        <v>0</v>
      </c>
      <c r="Y20" t="str">
        <f t="shared" si="3"/>
        <v>1</v>
      </c>
      <c r="Z20" t="str">
        <f t="shared" si="3"/>
        <v>0</v>
      </c>
      <c r="AA20" t="str">
        <f t="shared" si="3"/>
        <v>1</v>
      </c>
      <c r="AB20" t="str">
        <f t="shared" si="3"/>
        <v>0</v>
      </c>
      <c r="AC20" t="str">
        <f t="shared" si="3"/>
        <v>0</v>
      </c>
      <c r="AD20" t="str">
        <f t="shared" si="3"/>
        <v>1</v>
      </c>
      <c r="AE20" t="str">
        <f t="shared" si="3"/>
        <v>0</v>
      </c>
      <c r="AF20" t="str">
        <f t="shared" si="3"/>
        <v>1</v>
      </c>
      <c r="AG20" t="str">
        <f t="shared" si="3"/>
        <v>0</v>
      </c>
      <c r="AH20" t="str">
        <f t="shared" si="3"/>
        <v>1</v>
      </c>
      <c r="AI20" t="str">
        <f t="shared" si="3"/>
        <v>0</v>
      </c>
      <c r="AJ20" t="str">
        <f t="shared" si="3"/>
        <v>1</v>
      </c>
      <c r="AK20" t="str">
        <f t="shared" si="3"/>
        <v>1</v>
      </c>
      <c r="AL20" t="str">
        <f t="shared" si="3"/>
        <v>1</v>
      </c>
      <c r="AM20" t="str">
        <f t="shared" si="3"/>
        <v>1</v>
      </c>
      <c r="AN20" t="str">
        <f t="shared" si="3"/>
        <v>0</v>
      </c>
      <c r="AO20" t="str">
        <f t="shared" si="3"/>
        <v>0</v>
      </c>
      <c r="AP20" t="str">
        <f t="shared" si="3"/>
        <v>1</v>
      </c>
      <c r="AQ20" t="str">
        <f t="shared" si="3"/>
        <v>0</v>
      </c>
      <c r="AR20" t="str">
        <f t="shared" si="3"/>
        <v>1</v>
      </c>
      <c r="AS20" t="str">
        <f t="shared" si="3"/>
        <v>0</v>
      </c>
      <c r="AT20" t="str">
        <f t="shared" si="3"/>
        <v>0</v>
      </c>
      <c r="AU20" t="str">
        <f t="shared" si="3"/>
        <v>0</v>
      </c>
      <c r="AV20" t="str">
        <f t="shared" si="3"/>
        <v>1</v>
      </c>
      <c r="AW20" t="str">
        <f t="shared" si="3"/>
        <v>1</v>
      </c>
    </row>
    <row r="21" spans="1:49">
      <c r="A21" s="6" t="str">
        <f>CONCATENATE(A19," + ",A20)</f>
        <v>K4 + E(R3)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0</v>
      </c>
      <c r="E21" s="1">
        <f t="shared" si="4"/>
        <v>0</v>
      </c>
      <c r="F21" s="1">
        <f t="shared" si="4"/>
        <v>0</v>
      </c>
      <c r="G21" s="1">
        <f t="shared" si="4"/>
        <v>1</v>
      </c>
      <c r="H21" s="1">
        <f t="shared" si="4"/>
        <v>0</v>
      </c>
      <c r="I21" s="1">
        <f t="shared" si="4"/>
        <v>1</v>
      </c>
      <c r="J21" s="1">
        <f t="shared" si="4"/>
        <v>0</v>
      </c>
      <c r="K21" s="1">
        <f t="shared" si="4"/>
        <v>0</v>
      </c>
      <c r="L21" s="1">
        <f t="shared" si="4"/>
        <v>1</v>
      </c>
      <c r="M21" s="1">
        <f t="shared" si="4"/>
        <v>0</v>
      </c>
      <c r="N21" s="1">
        <f t="shared" si="4"/>
        <v>1</v>
      </c>
      <c r="O21" s="1">
        <f t="shared" si="4"/>
        <v>1</v>
      </c>
      <c r="P21" s="1">
        <f t="shared" si="4"/>
        <v>0</v>
      </c>
      <c r="Q21" s="1">
        <f t="shared" si="4"/>
        <v>1</v>
      </c>
      <c r="R21" s="1">
        <f t="shared" si="4"/>
        <v>0</v>
      </c>
      <c r="S21" s="1">
        <f t="shared" si="4"/>
        <v>1</v>
      </c>
      <c r="T21" s="1">
        <f t="shared" si="4"/>
        <v>0</v>
      </c>
      <c r="U21" s="1">
        <f t="shared" si="4"/>
        <v>1</v>
      </c>
      <c r="V21" s="1">
        <f t="shared" si="4"/>
        <v>0</v>
      </c>
      <c r="W21" s="1">
        <f t="shared" si="4"/>
        <v>0</v>
      </c>
      <c r="X21" s="1">
        <f t="shared" si="4"/>
        <v>1</v>
      </c>
      <c r="Y21" s="1">
        <f t="shared" si="4"/>
        <v>0</v>
      </c>
      <c r="Z21" s="1">
        <f t="shared" si="4"/>
        <v>0</v>
      </c>
      <c r="AA21" s="1">
        <f t="shared" si="4"/>
        <v>1</v>
      </c>
      <c r="AB21" s="1">
        <f t="shared" si="4"/>
        <v>1</v>
      </c>
      <c r="AC21" s="1">
        <f t="shared" si="4"/>
        <v>0</v>
      </c>
      <c r="AD21" s="1">
        <f t="shared" si="4"/>
        <v>0</v>
      </c>
      <c r="AE21" s="1">
        <f t="shared" si="4"/>
        <v>0</v>
      </c>
      <c r="AF21" s="1">
        <f t="shared" si="4"/>
        <v>0</v>
      </c>
      <c r="AG21" s="1">
        <f t="shared" si="4"/>
        <v>1</v>
      </c>
      <c r="AH21" s="1">
        <f t="shared" si="4"/>
        <v>1</v>
      </c>
      <c r="AI21" s="1">
        <f t="shared" si="4"/>
        <v>1</v>
      </c>
      <c r="AJ21" s="1">
        <f t="shared" si="4"/>
        <v>0</v>
      </c>
      <c r="AK21" s="1">
        <f t="shared" si="4"/>
        <v>1</v>
      </c>
      <c r="AL21" s="1">
        <f t="shared" si="4"/>
        <v>0</v>
      </c>
      <c r="AM21" s="1">
        <f t="shared" si="4"/>
        <v>0</v>
      </c>
      <c r="AN21" s="1">
        <f t="shared" si="4"/>
        <v>1</v>
      </c>
      <c r="AO21" s="1">
        <f t="shared" si="4"/>
        <v>0</v>
      </c>
      <c r="AP21" s="1">
        <f t="shared" si="4"/>
        <v>0</v>
      </c>
      <c r="AQ21" s="1">
        <f t="shared" si="4"/>
        <v>1</v>
      </c>
      <c r="AR21" s="1">
        <f t="shared" si="4"/>
        <v>0</v>
      </c>
      <c r="AS21" s="1">
        <f t="shared" si="4"/>
        <v>0</v>
      </c>
      <c r="AT21" s="1">
        <f t="shared" si="4"/>
        <v>0</v>
      </c>
      <c r="AU21" s="1">
        <f t="shared" si="4"/>
        <v>0</v>
      </c>
      <c r="AV21" s="1">
        <f t="shared" si="4"/>
        <v>0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1</v>
      </c>
      <c r="H23" t="str">
        <f>CONCATENATE(B23,G23)</f>
        <v>01</v>
      </c>
      <c r="I23" t="str">
        <f>CONCATENATE(C23,D23,E23,F23)</f>
        <v>0000</v>
      </c>
      <c r="J23">
        <f>BIN2DEC(H23)</f>
        <v>1</v>
      </c>
      <c r="K23">
        <f>BIN2DEC(I23)</f>
        <v>0</v>
      </c>
      <c r="L23">
        <f>VLOOKUP(J23,S1_BOX,K23+2,FALSE)</f>
        <v>0</v>
      </c>
      <c r="M23" t="str">
        <f>DEC2BIN(L23,4)</f>
        <v>0000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0</v>
      </c>
      <c r="E24">
        <f t="shared" si="6"/>
        <v>0</v>
      </c>
      <c r="F24">
        <f t="shared" si="6"/>
        <v>1</v>
      </c>
      <c r="G24">
        <f t="shared" si="6"/>
        <v>0</v>
      </c>
      <c r="H24" t="str">
        <f t="shared" ref="H24:H30" si="7">CONCATENATE(B24,G24)</f>
        <v>00</v>
      </c>
      <c r="I24" t="str">
        <f t="shared" ref="I24:I30" si="8">CONCATENATE(C24,D24,E24,F24)</f>
        <v>1001</v>
      </c>
      <c r="J24">
        <f t="shared" ref="J24:K30" si="9">BIN2DEC(H24)</f>
        <v>0</v>
      </c>
      <c r="K24">
        <f t="shared" si="9"/>
        <v>9</v>
      </c>
      <c r="L24">
        <f>VLOOKUP(J24,S2_BOX,K24+2,FALSE)</f>
        <v>7</v>
      </c>
      <c r="M24" t="str">
        <f t="shared" ref="M24:M30" si="10">DEC2BIN(L24,4)</f>
        <v>0111</v>
      </c>
    </row>
    <row r="25" spans="1:49">
      <c r="A25" t="s">
        <v>156</v>
      </c>
      <c r="B25">
        <f>N21</f>
        <v>1</v>
      </c>
      <c r="C25">
        <f t="shared" ref="C25:G25" si="11">O21</f>
        <v>1</v>
      </c>
      <c r="D25">
        <f t="shared" si="11"/>
        <v>0</v>
      </c>
      <c r="E25">
        <f t="shared" si="11"/>
        <v>1</v>
      </c>
      <c r="F25">
        <f t="shared" si="11"/>
        <v>0</v>
      </c>
      <c r="G25">
        <f t="shared" si="11"/>
        <v>1</v>
      </c>
      <c r="H25" t="str">
        <f t="shared" si="7"/>
        <v>11</v>
      </c>
      <c r="I25" t="str">
        <f t="shared" si="8"/>
        <v>1010</v>
      </c>
      <c r="J25">
        <f t="shared" si="9"/>
        <v>3</v>
      </c>
      <c r="K25">
        <f t="shared" si="9"/>
        <v>10</v>
      </c>
      <c r="L25">
        <f>VLOOKUP(J25,S3_BOX,K25+2,FALSE)</f>
        <v>14</v>
      </c>
      <c r="M25" t="str">
        <f t="shared" si="10"/>
        <v>1110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0</v>
      </c>
      <c r="E26">
        <f t="shared" si="12"/>
        <v>0</v>
      </c>
      <c r="F26">
        <f t="shared" si="12"/>
        <v>1</v>
      </c>
      <c r="G26">
        <f t="shared" si="12"/>
        <v>0</v>
      </c>
      <c r="H26" t="str">
        <f t="shared" si="7"/>
        <v>00</v>
      </c>
      <c r="I26" t="str">
        <f t="shared" si="8"/>
        <v>1001</v>
      </c>
      <c r="J26">
        <f t="shared" si="9"/>
        <v>0</v>
      </c>
      <c r="K26">
        <f t="shared" si="9"/>
        <v>9</v>
      </c>
      <c r="L26">
        <f>VLOOKUP(J26,S4_BOX,K26+2,FALSE)</f>
        <v>2</v>
      </c>
      <c r="M26" t="str">
        <f t="shared" si="10"/>
        <v>0010</v>
      </c>
    </row>
    <row r="27" spans="1:49">
      <c r="A27" t="s">
        <v>158</v>
      </c>
      <c r="B27">
        <f>Z21</f>
        <v>0</v>
      </c>
      <c r="C27">
        <f t="shared" ref="C27:G27" si="13">AA21</f>
        <v>1</v>
      </c>
      <c r="D27">
        <f t="shared" si="13"/>
        <v>1</v>
      </c>
      <c r="E27">
        <f t="shared" si="13"/>
        <v>0</v>
      </c>
      <c r="F27">
        <f t="shared" si="13"/>
        <v>0</v>
      </c>
      <c r="G27">
        <f t="shared" si="13"/>
        <v>0</v>
      </c>
      <c r="H27" t="str">
        <f t="shared" si="7"/>
        <v>00</v>
      </c>
      <c r="I27" t="str">
        <f t="shared" si="8"/>
        <v>1100</v>
      </c>
      <c r="J27">
        <f t="shared" si="9"/>
        <v>0</v>
      </c>
      <c r="K27">
        <f t="shared" si="9"/>
        <v>12</v>
      </c>
      <c r="L27">
        <f>VLOOKUP(J27,S5_BOX,K27+2,FALSE)</f>
        <v>13</v>
      </c>
      <c r="M27" t="str">
        <f t="shared" si="10"/>
        <v>1101</v>
      </c>
    </row>
    <row r="28" spans="1:49">
      <c r="A28" t="s">
        <v>159</v>
      </c>
      <c r="B28">
        <f>AF21</f>
        <v>0</v>
      </c>
      <c r="C28">
        <f t="shared" ref="C28:G28" si="14">AG21</f>
        <v>1</v>
      </c>
      <c r="D28">
        <f t="shared" si="14"/>
        <v>1</v>
      </c>
      <c r="E28">
        <f t="shared" si="14"/>
        <v>1</v>
      </c>
      <c r="F28">
        <f t="shared" si="14"/>
        <v>0</v>
      </c>
      <c r="G28">
        <f t="shared" si="14"/>
        <v>1</v>
      </c>
      <c r="H28" t="str">
        <f t="shared" si="7"/>
        <v>01</v>
      </c>
      <c r="I28" t="str">
        <f t="shared" si="8"/>
        <v>1110</v>
      </c>
      <c r="J28">
        <f t="shared" si="9"/>
        <v>1</v>
      </c>
      <c r="K28">
        <f t="shared" si="9"/>
        <v>14</v>
      </c>
      <c r="L28">
        <f>VLOOKUP(J28,S6_BOX,K28+2,FALSE)</f>
        <v>3</v>
      </c>
      <c r="M28" t="str">
        <f t="shared" si="10"/>
        <v>0011</v>
      </c>
    </row>
    <row r="29" spans="1:49">
      <c r="A29" t="s">
        <v>160</v>
      </c>
      <c r="B29">
        <f>AL21</f>
        <v>0</v>
      </c>
      <c r="C29">
        <f t="shared" ref="C29:G29" si="15">AM21</f>
        <v>0</v>
      </c>
      <c r="D29">
        <f t="shared" si="15"/>
        <v>1</v>
      </c>
      <c r="E29">
        <f t="shared" si="15"/>
        <v>0</v>
      </c>
      <c r="F29">
        <f t="shared" si="15"/>
        <v>0</v>
      </c>
      <c r="G29">
        <f t="shared" si="15"/>
        <v>1</v>
      </c>
      <c r="H29" t="str">
        <f t="shared" si="7"/>
        <v>01</v>
      </c>
      <c r="I29" t="str">
        <f t="shared" si="8"/>
        <v>0100</v>
      </c>
      <c r="J29">
        <f t="shared" si="9"/>
        <v>1</v>
      </c>
      <c r="K29">
        <f t="shared" si="9"/>
        <v>4</v>
      </c>
      <c r="L29">
        <f>VLOOKUP(J29,S7_BOX,K29+2,FALSE)</f>
        <v>4</v>
      </c>
      <c r="M29" t="str">
        <f t="shared" si="10"/>
        <v>0100</v>
      </c>
    </row>
    <row r="30" spans="1:49">
      <c r="A30" t="s">
        <v>161</v>
      </c>
      <c r="B30">
        <f>AR21</f>
        <v>0</v>
      </c>
      <c r="C30">
        <f t="shared" ref="C30:G30" si="16">AS21</f>
        <v>0</v>
      </c>
      <c r="D30">
        <f t="shared" si="16"/>
        <v>0</v>
      </c>
      <c r="E30">
        <f t="shared" si="16"/>
        <v>0</v>
      </c>
      <c r="F30">
        <f t="shared" si="16"/>
        <v>0</v>
      </c>
      <c r="G30">
        <f t="shared" si="16"/>
        <v>0</v>
      </c>
      <c r="H30" t="str">
        <f t="shared" si="7"/>
        <v>00</v>
      </c>
      <c r="I30" t="str">
        <f t="shared" si="8"/>
        <v>0000</v>
      </c>
      <c r="J30">
        <f t="shared" si="9"/>
        <v>0</v>
      </c>
      <c r="K30">
        <f t="shared" si="9"/>
        <v>0</v>
      </c>
      <c r="L30">
        <f>VLOOKUP(J30,S8_BOX,K30+2,FALSE)</f>
        <v>13</v>
      </c>
      <c r="M30" t="str">
        <f t="shared" si="10"/>
        <v>1101</v>
      </c>
    </row>
    <row r="31" spans="1:49">
      <c r="A31" t="s">
        <v>162</v>
      </c>
      <c r="B31" t="str">
        <f>CONCATENATE(M23,M24,M25,M26,M27,M28,M29,M30)</f>
        <v>00000111111000101101001101001101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1</v>
      </c>
      <c r="E34" t="str">
        <f t="shared" si="17"/>
        <v>1</v>
      </c>
      <c r="F34" t="str">
        <f t="shared" si="17"/>
        <v>0</v>
      </c>
      <c r="G34" t="str">
        <f>CONCATENATE(C34,D34,E34,F34)</f>
        <v>0110</v>
      </c>
    </row>
    <row r="35" spans="1:33">
      <c r="B35">
        <v>2</v>
      </c>
      <c r="C35" t="str">
        <f t="shared" si="17"/>
        <v>1</v>
      </c>
      <c r="D35" t="str">
        <f t="shared" si="17"/>
        <v>0</v>
      </c>
      <c r="E35" t="str">
        <f t="shared" si="17"/>
        <v>0</v>
      </c>
      <c r="F35" t="str">
        <f t="shared" si="17"/>
        <v>1</v>
      </c>
      <c r="G35" t="str">
        <f t="shared" ref="G35:G41" si="18">CONCATENATE(C35,D35,E35,F35)</f>
        <v>1001</v>
      </c>
    </row>
    <row r="36" spans="1:33">
      <c r="B36">
        <v>3</v>
      </c>
      <c r="C36" t="str">
        <f t="shared" si="17"/>
        <v>0</v>
      </c>
      <c r="D36" t="str">
        <f t="shared" si="17"/>
        <v>1</v>
      </c>
      <c r="E36" t="str">
        <f t="shared" si="17"/>
        <v>1</v>
      </c>
      <c r="F36" t="str">
        <f t="shared" si="17"/>
        <v>1</v>
      </c>
      <c r="G36" t="str">
        <f t="shared" si="18"/>
        <v>0111</v>
      </c>
    </row>
    <row r="37" spans="1:33">
      <c r="B37">
        <v>4</v>
      </c>
      <c r="C37" t="str">
        <f t="shared" si="17"/>
        <v>0</v>
      </c>
      <c r="D37" t="str">
        <f t="shared" si="17"/>
        <v>1</v>
      </c>
      <c r="E37" t="str">
        <f t="shared" si="17"/>
        <v>0</v>
      </c>
      <c r="F37" t="str">
        <f t="shared" si="17"/>
        <v>1</v>
      </c>
      <c r="G37" t="str">
        <f t="shared" si="18"/>
        <v>0101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1</v>
      </c>
      <c r="F38" t="str">
        <f t="shared" si="17"/>
        <v>0</v>
      </c>
      <c r="G38" t="str">
        <f t="shared" si="18"/>
        <v>0110</v>
      </c>
    </row>
    <row r="39" spans="1:33">
      <c r="B39">
        <v>6</v>
      </c>
      <c r="C39" t="str">
        <f t="shared" si="17"/>
        <v>1</v>
      </c>
      <c r="D39" t="str">
        <f t="shared" si="17"/>
        <v>0</v>
      </c>
      <c r="E39" t="str">
        <f t="shared" si="17"/>
        <v>0</v>
      </c>
      <c r="F39" t="str">
        <f t="shared" si="17"/>
        <v>1</v>
      </c>
      <c r="G39" t="str">
        <f t="shared" si="18"/>
        <v>1001</v>
      </c>
    </row>
    <row r="40" spans="1:33">
      <c r="B40">
        <v>7</v>
      </c>
      <c r="C40" t="str">
        <f t="shared" si="17"/>
        <v>0</v>
      </c>
      <c r="D40" t="str">
        <f t="shared" si="17"/>
        <v>0</v>
      </c>
      <c r="E40" t="str">
        <f t="shared" si="17"/>
        <v>1</v>
      </c>
      <c r="F40" t="str">
        <f t="shared" si="17"/>
        <v>1</v>
      </c>
      <c r="G40" t="str">
        <f t="shared" si="18"/>
        <v>0011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0</v>
      </c>
      <c r="F41" t="str">
        <f t="shared" si="17"/>
        <v>0</v>
      </c>
      <c r="G41" t="str">
        <f t="shared" si="18"/>
        <v>0100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01101001011101010110100100110100</v>
      </c>
    </row>
    <row r="44" spans="1:33">
      <c r="B44" t="str">
        <f>MID($B$43,B42,1)</f>
        <v>0</v>
      </c>
      <c r="C44" t="str">
        <f t="shared" ref="C44:AG44" si="19">MID($B$43,C42,1)</f>
        <v>1</v>
      </c>
      <c r="D44" t="str">
        <f t="shared" si="19"/>
        <v>1</v>
      </c>
      <c r="E44" t="str">
        <f t="shared" si="19"/>
        <v>0</v>
      </c>
      <c r="F44" t="str">
        <f t="shared" si="19"/>
        <v>1</v>
      </c>
      <c r="G44" t="str">
        <f t="shared" si="19"/>
        <v>0</v>
      </c>
      <c r="H44" t="str">
        <f t="shared" si="19"/>
        <v>0</v>
      </c>
      <c r="I44" t="str">
        <f t="shared" si="19"/>
        <v>1</v>
      </c>
      <c r="J44" t="str">
        <f t="shared" si="19"/>
        <v>0</v>
      </c>
      <c r="K44" t="str">
        <f t="shared" si="19"/>
        <v>1</v>
      </c>
      <c r="L44" t="str">
        <f t="shared" si="19"/>
        <v>1</v>
      </c>
      <c r="M44" t="str">
        <f t="shared" si="19"/>
        <v>1</v>
      </c>
      <c r="N44" t="str">
        <f t="shared" si="19"/>
        <v>0</v>
      </c>
      <c r="O44" t="str">
        <f t="shared" si="19"/>
        <v>1</v>
      </c>
      <c r="P44" t="str">
        <f t="shared" si="19"/>
        <v>0</v>
      </c>
      <c r="Q44" t="str">
        <f t="shared" si="19"/>
        <v>1</v>
      </c>
      <c r="R44" t="str">
        <f t="shared" si="19"/>
        <v>0</v>
      </c>
      <c r="S44" t="str">
        <f t="shared" si="19"/>
        <v>1</v>
      </c>
      <c r="T44" t="str">
        <f t="shared" si="19"/>
        <v>1</v>
      </c>
      <c r="U44" t="str">
        <f t="shared" si="19"/>
        <v>0</v>
      </c>
      <c r="V44" t="str">
        <f t="shared" si="19"/>
        <v>1</v>
      </c>
      <c r="W44" t="str">
        <f t="shared" si="19"/>
        <v>0</v>
      </c>
      <c r="X44" t="str">
        <f t="shared" si="19"/>
        <v>0</v>
      </c>
      <c r="Y44" t="str">
        <f t="shared" si="19"/>
        <v>1</v>
      </c>
      <c r="Z44" t="str">
        <f t="shared" si="19"/>
        <v>0</v>
      </c>
      <c r="AA44" t="str">
        <f t="shared" si="19"/>
        <v>0</v>
      </c>
      <c r="AB44" t="str">
        <f t="shared" si="19"/>
        <v>1</v>
      </c>
      <c r="AC44" t="str">
        <f t="shared" si="19"/>
        <v>1</v>
      </c>
      <c r="AD44" t="str">
        <f t="shared" si="19"/>
        <v>0</v>
      </c>
      <c r="AE44" t="str">
        <f t="shared" si="19"/>
        <v>1</v>
      </c>
      <c r="AF44" t="str">
        <f t="shared" si="19"/>
        <v>0</v>
      </c>
      <c r="AG44" t="str">
        <f t="shared" si="19"/>
        <v>0</v>
      </c>
    </row>
    <row r="45" spans="1:33">
      <c r="A45" t="str">
        <f>CONCATENATE("L",C4-1)</f>
        <v>L3</v>
      </c>
      <c r="B45" s="8" t="str">
        <f>'R3'!C6</f>
        <v>01001010000100100001000011110110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1</v>
      </c>
      <c r="D46" t="str">
        <f t="shared" si="20"/>
        <v>0</v>
      </c>
      <c r="E46" t="str">
        <f t="shared" si="20"/>
        <v>0</v>
      </c>
      <c r="F46" t="str">
        <f t="shared" si="20"/>
        <v>1</v>
      </c>
      <c r="G46" t="str">
        <f t="shared" si="20"/>
        <v>0</v>
      </c>
      <c r="H46" t="str">
        <f t="shared" si="20"/>
        <v>1</v>
      </c>
      <c r="I46" t="str">
        <f t="shared" si="20"/>
        <v>0</v>
      </c>
      <c r="J46" t="str">
        <f t="shared" si="20"/>
        <v>0</v>
      </c>
      <c r="K46" t="str">
        <f t="shared" si="20"/>
        <v>0</v>
      </c>
      <c r="L46" t="str">
        <f t="shared" si="20"/>
        <v>0</v>
      </c>
      <c r="M46" t="str">
        <f t="shared" si="20"/>
        <v>1</v>
      </c>
      <c r="N46" t="str">
        <f t="shared" si="20"/>
        <v>0</v>
      </c>
      <c r="O46" t="str">
        <f t="shared" si="20"/>
        <v>0</v>
      </c>
      <c r="P46" t="str">
        <f t="shared" si="20"/>
        <v>1</v>
      </c>
      <c r="Q46" t="str">
        <f t="shared" si="20"/>
        <v>0</v>
      </c>
      <c r="R46" t="str">
        <f t="shared" si="20"/>
        <v>0</v>
      </c>
      <c r="S46" t="str">
        <f t="shared" si="20"/>
        <v>0</v>
      </c>
      <c r="T46" t="str">
        <f t="shared" si="20"/>
        <v>0</v>
      </c>
      <c r="U46" t="str">
        <f t="shared" si="20"/>
        <v>1</v>
      </c>
      <c r="V46" t="str">
        <f t="shared" si="20"/>
        <v>0</v>
      </c>
      <c r="W46" t="str">
        <f t="shared" si="20"/>
        <v>0</v>
      </c>
      <c r="X46" t="str">
        <f t="shared" si="20"/>
        <v>0</v>
      </c>
      <c r="Y46" t="str">
        <f t="shared" si="20"/>
        <v>0</v>
      </c>
      <c r="Z46" t="str">
        <f t="shared" si="20"/>
        <v>1</v>
      </c>
      <c r="AA46" t="str">
        <f t="shared" si="20"/>
        <v>1</v>
      </c>
      <c r="AB46" t="str">
        <f t="shared" si="20"/>
        <v>1</v>
      </c>
      <c r="AC46" t="str">
        <f t="shared" si="20"/>
        <v>1</v>
      </c>
      <c r="AD46" t="str">
        <f t="shared" si="20"/>
        <v>0</v>
      </c>
      <c r="AE46" t="str">
        <f t="shared" si="20"/>
        <v>1</v>
      </c>
      <c r="AF46" t="str">
        <f t="shared" si="20"/>
        <v>1</v>
      </c>
      <c r="AG46" t="str">
        <f t="shared" si="20"/>
        <v>0</v>
      </c>
    </row>
    <row r="47" spans="1:33">
      <c r="A47" t="str">
        <f>CONCATENATE("R",C4)</f>
        <v>R4</v>
      </c>
      <c r="B47">
        <f>IF(B44=B46,0,1)</f>
        <v>0</v>
      </c>
      <c r="C47">
        <f t="shared" ref="C47:AG47" si="21">IF(C44=C46,0,1)</f>
        <v>0</v>
      </c>
      <c r="D47">
        <f t="shared" si="21"/>
        <v>1</v>
      </c>
      <c r="E47">
        <f t="shared" si="21"/>
        <v>0</v>
      </c>
      <c r="F47">
        <f t="shared" si="21"/>
        <v>0</v>
      </c>
      <c r="G47">
        <f t="shared" si="21"/>
        <v>0</v>
      </c>
      <c r="H47">
        <f t="shared" si="21"/>
        <v>1</v>
      </c>
      <c r="I47">
        <f t="shared" si="21"/>
        <v>1</v>
      </c>
      <c r="J47">
        <f t="shared" si="21"/>
        <v>0</v>
      </c>
      <c r="K47">
        <f t="shared" si="21"/>
        <v>1</v>
      </c>
      <c r="L47">
        <f t="shared" si="21"/>
        <v>1</v>
      </c>
      <c r="M47">
        <f t="shared" si="21"/>
        <v>0</v>
      </c>
      <c r="N47">
        <f t="shared" si="21"/>
        <v>0</v>
      </c>
      <c r="O47">
        <f t="shared" si="21"/>
        <v>1</v>
      </c>
      <c r="P47">
        <f t="shared" si="21"/>
        <v>1</v>
      </c>
      <c r="Q47">
        <f t="shared" si="21"/>
        <v>1</v>
      </c>
      <c r="R47">
        <f t="shared" si="21"/>
        <v>0</v>
      </c>
      <c r="S47">
        <f t="shared" si="21"/>
        <v>1</v>
      </c>
      <c r="T47">
        <f t="shared" si="21"/>
        <v>1</v>
      </c>
      <c r="U47">
        <f t="shared" si="21"/>
        <v>1</v>
      </c>
      <c r="V47">
        <f t="shared" si="21"/>
        <v>1</v>
      </c>
      <c r="W47">
        <f t="shared" si="21"/>
        <v>0</v>
      </c>
      <c r="X47">
        <f t="shared" si="21"/>
        <v>0</v>
      </c>
      <c r="Y47">
        <f t="shared" si="21"/>
        <v>1</v>
      </c>
      <c r="Z47">
        <f t="shared" si="21"/>
        <v>1</v>
      </c>
      <c r="AA47">
        <f t="shared" si="21"/>
        <v>1</v>
      </c>
      <c r="AB47">
        <f t="shared" si="21"/>
        <v>0</v>
      </c>
      <c r="AC47">
        <f t="shared" si="21"/>
        <v>0</v>
      </c>
      <c r="AD47">
        <f t="shared" si="21"/>
        <v>0</v>
      </c>
      <c r="AE47">
        <f t="shared" si="21"/>
        <v>0</v>
      </c>
      <c r="AF47">
        <f t="shared" si="21"/>
        <v>1</v>
      </c>
      <c r="AG47">
        <f t="shared" si="21"/>
        <v>0</v>
      </c>
    </row>
    <row r="48" spans="1:33">
      <c r="B48" t="str">
        <f>CONCATENATE(B47,C47,D47,E47)</f>
        <v>0010</v>
      </c>
      <c r="F48" t="str">
        <f>CONCATENATE(F47,G47,H47,I47)</f>
        <v>0011</v>
      </c>
      <c r="J48" t="str">
        <f>CONCATENATE(J47,K47,L47,M47)</f>
        <v>0110</v>
      </c>
      <c r="N48" t="str">
        <f>CONCATENATE(N47,O47,P47,Q47)</f>
        <v>0111</v>
      </c>
      <c r="R48" t="str">
        <f>CONCATENATE(R47,S47,T47,U47)</f>
        <v>0111</v>
      </c>
      <c r="V48" t="str">
        <f>CONCATENATE(V47,W47,X47,Y47)</f>
        <v>1001</v>
      </c>
      <c r="Z48" t="str">
        <f>CONCATENATE(Z47,AA47,AB47,AC47)</f>
        <v>1100</v>
      </c>
      <c r="AD48" t="str">
        <f>CONCATENATE(AD47,AE47,AF47,AG47)</f>
        <v>0010</v>
      </c>
    </row>
    <row r="49" spans="1:2">
      <c r="A49" t="str">
        <f>A47</f>
        <v>R4</v>
      </c>
      <c r="B49" t="str">
        <f>CONCATENATE(B48,F48,J48,N48,R48,V48,Z48,AD48)</f>
        <v>00100011011001110111100111000010</v>
      </c>
    </row>
    <row r="50" spans="1:2">
      <c r="A50" t="str">
        <f>CONCATENATE(A49," hex")</f>
        <v>R4 hex</v>
      </c>
      <c r="B50" t="str">
        <f>CONCATENATE(BIN2HEX(B48),BIN2HEX(F48),BIN2HEX(J48),BIN2HEX(N48),BIN2HEX(R48),BIN2HEX(V48),BIN2HEX(Z48),BIN2HEX(AD48))</f>
        <v>236779C2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50"/>
  <sheetViews>
    <sheetView topLeftCell="A22" workbookViewId="0">
      <selection activeCell="A22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5</v>
      </c>
    </row>
    <row r="5" spans="1:13">
      <c r="A5" t="str">
        <f>CONCATENATE("K",C4)</f>
        <v>K5</v>
      </c>
      <c r="C5" s="8" t="str">
        <f>Kn!O6</f>
        <v>011010011010011000101001111111101100100100010011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L5   =</v>
      </c>
      <c r="B6" t="str">
        <f>CONCATENATE("R",(C4-1))</f>
        <v>R4</v>
      </c>
      <c r="C6" s="8" t="str">
        <f>'R4'!B49</f>
        <v>00100011011001110111100111000010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E(R4)</v>
      </c>
      <c r="B8">
        <v>1</v>
      </c>
      <c r="C8" s="1" t="str">
        <f t="shared" ref="C8:H15" si="0">MID($C$6,VLOOKUP($B8,E_BIT,C$7+1,FALSE),1)</f>
        <v>0</v>
      </c>
      <c r="D8" s="1" t="str">
        <f t="shared" si="0"/>
        <v>0</v>
      </c>
      <c r="E8" s="1" t="str">
        <f t="shared" si="0"/>
        <v>0</v>
      </c>
      <c r="F8" s="1" t="str">
        <f t="shared" si="0"/>
        <v>1</v>
      </c>
      <c r="G8" s="1" t="str">
        <f t="shared" si="0"/>
        <v>0</v>
      </c>
      <c r="H8" s="1" t="str">
        <f t="shared" si="0"/>
        <v>0</v>
      </c>
      <c r="I8" s="6" t="str">
        <f>CONCATENATE(C8,D8,E8,F8,G8,H8)</f>
        <v>000100</v>
      </c>
    </row>
    <row r="9" spans="1:13">
      <c r="B9">
        <v>2</v>
      </c>
      <c r="C9" s="1" t="str">
        <f t="shared" si="0"/>
        <v>0</v>
      </c>
      <c r="D9" s="1" t="str">
        <f t="shared" si="0"/>
        <v>0</v>
      </c>
      <c r="E9" s="1" t="str">
        <f t="shared" si="0"/>
        <v>0</v>
      </c>
      <c r="F9" s="1" t="str">
        <f t="shared" si="0"/>
        <v>1</v>
      </c>
      <c r="G9" s="1" t="str">
        <f t="shared" si="0"/>
        <v>1</v>
      </c>
      <c r="H9" s="1" t="str">
        <f t="shared" si="0"/>
        <v>0</v>
      </c>
      <c r="I9" s="6" t="str">
        <f t="shared" ref="I9:I15" si="1">CONCATENATE(C9,D9,E9,F9,G9,H9)</f>
        <v>000110</v>
      </c>
    </row>
    <row r="10" spans="1:13">
      <c r="B10">
        <v>3</v>
      </c>
      <c r="C10" s="1" t="str">
        <f t="shared" si="0"/>
        <v>1</v>
      </c>
      <c r="D10" s="1" t="str">
        <f t="shared" si="0"/>
        <v>0</v>
      </c>
      <c r="E10" s="1" t="str">
        <f t="shared" si="0"/>
        <v>1</v>
      </c>
      <c r="F10" s="1" t="str">
        <f t="shared" si="0"/>
        <v>1</v>
      </c>
      <c r="G10" s="1" t="str">
        <f t="shared" si="0"/>
        <v>0</v>
      </c>
      <c r="H10" s="1" t="str">
        <f t="shared" si="0"/>
        <v>0</v>
      </c>
      <c r="I10" s="6" t="str">
        <f t="shared" si="1"/>
        <v>101100</v>
      </c>
    </row>
    <row r="11" spans="1:13">
      <c r="B11">
        <v>4</v>
      </c>
      <c r="C11" s="1" t="str">
        <f t="shared" si="0"/>
        <v>0</v>
      </c>
      <c r="D11" s="1" t="str">
        <f t="shared" si="0"/>
        <v>0</v>
      </c>
      <c r="E11" s="1" t="str">
        <f t="shared" si="0"/>
        <v>1</v>
      </c>
      <c r="F11" s="1" t="str">
        <f t="shared" si="0"/>
        <v>1</v>
      </c>
      <c r="G11" s="1" t="str">
        <f t="shared" si="0"/>
        <v>1</v>
      </c>
      <c r="H11" s="1" t="str">
        <f t="shared" si="0"/>
        <v>0</v>
      </c>
      <c r="I11" s="6" t="str">
        <f t="shared" si="1"/>
        <v>001110</v>
      </c>
    </row>
    <row r="12" spans="1:13">
      <c r="B12">
        <v>5</v>
      </c>
      <c r="C12" s="1" t="str">
        <f t="shared" si="0"/>
        <v>1</v>
      </c>
      <c r="D12" s="1" t="str">
        <f t="shared" si="0"/>
        <v>0</v>
      </c>
      <c r="E12" s="1" t="str">
        <f t="shared" si="0"/>
        <v>1</v>
      </c>
      <c r="F12" s="1" t="str">
        <f t="shared" si="0"/>
        <v>1</v>
      </c>
      <c r="G12" s="1" t="str">
        <f t="shared" si="0"/>
        <v>1</v>
      </c>
      <c r="H12" s="1" t="str">
        <f t="shared" si="0"/>
        <v>1</v>
      </c>
      <c r="I12" s="6" t="str">
        <f t="shared" si="1"/>
        <v>101111</v>
      </c>
    </row>
    <row r="13" spans="1:13">
      <c r="B13">
        <v>6</v>
      </c>
      <c r="C13" s="1" t="str">
        <f t="shared" si="0"/>
        <v>1</v>
      </c>
      <c r="D13" s="1" t="str">
        <f t="shared" si="0"/>
        <v>1</v>
      </c>
      <c r="E13" s="1" t="str">
        <f t="shared" si="0"/>
        <v>0</v>
      </c>
      <c r="F13" s="1" t="str">
        <f t="shared" si="0"/>
        <v>0</v>
      </c>
      <c r="G13" s="1" t="str">
        <f t="shared" si="0"/>
        <v>1</v>
      </c>
      <c r="H13" s="1" t="str">
        <f t="shared" si="0"/>
        <v>1</v>
      </c>
      <c r="I13" s="6" t="str">
        <f t="shared" si="1"/>
        <v>110011</v>
      </c>
    </row>
    <row r="14" spans="1:13">
      <c r="B14">
        <v>7</v>
      </c>
      <c r="C14" s="1" t="str">
        <f t="shared" si="0"/>
        <v>1</v>
      </c>
      <c r="D14" s="1" t="str">
        <f t="shared" si="0"/>
        <v>1</v>
      </c>
      <c r="E14" s="1" t="str">
        <f t="shared" si="0"/>
        <v>1</v>
      </c>
      <c r="F14" s="1" t="str">
        <f t="shared" si="0"/>
        <v>0</v>
      </c>
      <c r="G14" s="1" t="str">
        <f t="shared" si="0"/>
        <v>0</v>
      </c>
      <c r="H14" s="1" t="str">
        <f t="shared" si="0"/>
        <v>0</v>
      </c>
      <c r="I14" s="6" t="str">
        <f t="shared" si="1"/>
        <v>111000</v>
      </c>
    </row>
    <row r="15" spans="1:13">
      <c r="B15">
        <v>8</v>
      </c>
      <c r="C15" s="1" t="str">
        <f t="shared" si="0"/>
        <v>0</v>
      </c>
      <c r="D15" s="1" t="str">
        <f t="shared" si="0"/>
        <v>0</v>
      </c>
      <c r="E15" s="1" t="str">
        <f t="shared" si="0"/>
        <v>0</v>
      </c>
      <c r="F15" s="1" t="str">
        <f t="shared" si="0"/>
        <v>1</v>
      </c>
      <c r="G15" s="1" t="str">
        <f t="shared" si="0"/>
        <v>0</v>
      </c>
      <c r="H15" s="1" t="str">
        <f t="shared" si="0"/>
        <v>0</v>
      </c>
      <c r="I15" s="6" t="str">
        <f t="shared" si="1"/>
        <v>000100</v>
      </c>
    </row>
    <row r="16" spans="1:13">
      <c r="A16" t="str">
        <f>A8</f>
        <v>E(R4)</v>
      </c>
      <c r="B16" t="str">
        <f>CONCATENATE(I8,I9,I10,I11,I12,I13,I14,I15)</f>
        <v>000100000110101100001110101111110011111000000100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K5</v>
      </c>
      <c r="B19" t="str">
        <f>MID($C$5,B18,1)</f>
        <v>0</v>
      </c>
      <c r="C19" t="str">
        <f t="shared" ref="C19:AW19" si="2">MID($C$5,C18,1)</f>
        <v>1</v>
      </c>
      <c r="D19" t="str">
        <f t="shared" si="2"/>
        <v>1</v>
      </c>
      <c r="E19" t="str">
        <f t="shared" si="2"/>
        <v>0</v>
      </c>
      <c r="F19" t="str">
        <f t="shared" si="2"/>
        <v>1</v>
      </c>
      <c r="G19" t="str">
        <f t="shared" si="2"/>
        <v>0</v>
      </c>
      <c r="H19" t="str">
        <f t="shared" si="2"/>
        <v>0</v>
      </c>
      <c r="I19" t="str">
        <f t="shared" si="2"/>
        <v>1</v>
      </c>
      <c r="J19" t="str">
        <f t="shared" si="2"/>
        <v>1</v>
      </c>
      <c r="K19" t="str">
        <f t="shared" si="2"/>
        <v>0</v>
      </c>
      <c r="L19" t="str">
        <f t="shared" si="2"/>
        <v>1</v>
      </c>
      <c r="M19" t="str">
        <f t="shared" si="2"/>
        <v>0</v>
      </c>
      <c r="N19" t="str">
        <f t="shared" si="2"/>
        <v>0</v>
      </c>
      <c r="O19" t="str">
        <f t="shared" si="2"/>
        <v>1</v>
      </c>
      <c r="P19" t="str">
        <f t="shared" si="2"/>
        <v>1</v>
      </c>
      <c r="Q19" t="str">
        <f t="shared" si="2"/>
        <v>0</v>
      </c>
      <c r="R19" t="str">
        <f t="shared" si="2"/>
        <v>0</v>
      </c>
      <c r="S19" t="str">
        <f t="shared" si="2"/>
        <v>0</v>
      </c>
      <c r="T19" t="str">
        <f t="shared" si="2"/>
        <v>1</v>
      </c>
      <c r="U19" t="str">
        <f t="shared" si="2"/>
        <v>0</v>
      </c>
      <c r="V19" t="str">
        <f t="shared" si="2"/>
        <v>1</v>
      </c>
      <c r="W19" t="str">
        <f t="shared" si="2"/>
        <v>0</v>
      </c>
      <c r="X19" t="str">
        <f t="shared" si="2"/>
        <v>0</v>
      </c>
      <c r="Y19" t="str">
        <f t="shared" si="2"/>
        <v>1</v>
      </c>
      <c r="Z19" t="str">
        <f t="shared" si="2"/>
        <v>1</v>
      </c>
      <c r="AA19" t="str">
        <f t="shared" si="2"/>
        <v>1</v>
      </c>
      <c r="AB19" t="str">
        <f t="shared" si="2"/>
        <v>1</v>
      </c>
      <c r="AC19" t="str">
        <f t="shared" si="2"/>
        <v>1</v>
      </c>
      <c r="AD19" t="str">
        <f t="shared" si="2"/>
        <v>1</v>
      </c>
      <c r="AE19" t="str">
        <f t="shared" si="2"/>
        <v>1</v>
      </c>
      <c r="AF19" t="str">
        <f t="shared" si="2"/>
        <v>1</v>
      </c>
      <c r="AG19" t="str">
        <f t="shared" si="2"/>
        <v>0</v>
      </c>
      <c r="AH19" t="str">
        <f t="shared" si="2"/>
        <v>1</v>
      </c>
      <c r="AI19" t="str">
        <f t="shared" si="2"/>
        <v>1</v>
      </c>
      <c r="AJ19" t="str">
        <f t="shared" si="2"/>
        <v>0</v>
      </c>
      <c r="AK19" t="str">
        <f t="shared" si="2"/>
        <v>0</v>
      </c>
      <c r="AL19" t="str">
        <f t="shared" si="2"/>
        <v>1</v>
      </c>
      <c r="AM19" t="str">
        <f t="shared" si="2"/>
        <v>0</v>
      </c>
      <c r="AN19" t="str">
        <f t="shared" si="2"/>
        <v>0</v>
      </c>
      <c r="AO19" t="str">
        <f t="shared" si="2"/>
        <v>1</v>
      </c>
      <c r="AP19" t="str">
        <f t="shared" si="2"/>
        <v>0</v>
      </c>
      <c r="AQ19" t="str">
        <f t="shared" si="2"/>
        <v>0</v>
      </c>
      <c r="AR19" t="str">
        <f t="shared" si="2"/>
        <v>0</v>
      </c>
      <c r="AS19" t="str">
        <f t="shared" si="2"/>
        <v>1</v>
      </c>
      <c r="AT19" t="str">
        <f t="shared" si="2"/>
        <v>0</v>
      </c>
      <c r="AU19" t="str">
        <f t="shared" si="2"/>
        <v>0</v>
      </c>
      <c r="AV19" t="str">
        <f t="shared" si="2"/>
        <v>1</v>
      </c>
      <c r="AW19" t="str">
        <f t="shared" si="2"/>
        <v>1</v>
      </c>
    </row>
    <row r="20" spans="1:49">
      <c r="A20" t="str">
        <f>A16</f>
        <v>E(R4)</v>
      </c>
      <c r="B20" t="str">
        <f>MID($B$16,B18,1)</f>
        <v>0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1</v>
      </c>
      <c r="F20" t="str">
        <f t="shared" si="3"/>
        <v>0</v>
      </c>
      <c r="G20" t="str">
        <f t="shared" si="3"/>
        <v>0</v>
      </c>
      <c r="H20" t="str">
        <f t="shared" si="3"/>
        <v>0</v>
      </c>
      <c r="I20" t="str">
        <f t="shared" si="3"/>
        <v>0</v>
      </c>
      <c r="J20" t="str">
        <f t="shared" si="3"/>
        <v>0</v>
      </c>
      <c r="K20" t="str">
        <f t="shared" si="3"/>
        <v>1</v>
      </c>
      <c r="L20" t="str">
        <f t="shared" si="3"/>
        <v>1</v>
      </c>
      <c r="M20" t="str">
        <f t="shared" si="3"/>
        <v>0</v>
      </c>
      <c r="N20" t="str">
        <f t="shared" si="3"/>
        <v>1</v>
      </c>
      <c r="O20" t="str">
        <f t="shared" si="3"/>
        <v>0</v>
      </c>
      <c r="P20" t="str">
        <f t="shared" si="3"/>
        <v>1</v>
      </c>
      <c r="Q20" t="str">
        <f t="shared" si="3"/>
        <v>1</v>
      </c>
      <c r="R20" t="str">
        <f t="shared" si="3"/>
        <v>0</v>
      </c>
      <c r="S20" t="str">
        <f t="shared" si="3"/>
        <v>0</v>
      </c>
      <c r="T20" t="str">
        <f t="shared" si="3"/>
        <v>0</v>
      </c>
      <c r="U20" t="str">
        <f t="shared" si="3"/>
        <v>0</v>
      </c>
      <c r="V20" t="str">
        <f t="shared" si="3"/>
        <v>1</v>
      </c>
      <c r="W20" t="str">
        <f t="shared" si="3"/>
        <v>1</v>
      </c>
      <c r="X20" t="str">
        <f t="shared" si="3"/>
        <v>1</v>
      </c>
      <c r="Y20" t="str">
        <f t="shared" si="3"/>
        <v>0</v>
      </c>
      <c r="Z20" t="str">
        <f t="shared" si="3"/>
        <v>1</v>
      </c>
      <c r="AA20" t="str">
        <f t="shared" si="3"/>
        <v>0</v>
      </c>
      <c r="AB20" t="str">
        <f t="shared" si="3"/>
        <v>1</v>
      </c>
      <c r="AC20" t="str">
        <f t="shared" si="3"/>
        <v>1</v>
      </c>
      <c r="AD20" t="str">
        <f t="shared" si="3"/>
        <v>1</v>
      </c>
      <c r="AE20" t="str">
        <f t="shared" si="3"/>
        <v>1</v>
      </c>
      <c r="AF20" t="str">
        <f t="shared" si="3"/>
        <v>1</v>
      </c>
      <c r="AG20" t="str">
        <f t="shared" si="3"/>
        <v>1</v>
      </c>
      <c r="AH20" t="str">
        <f t="shared" si="3"/>
        <v>0</v>
      </c>
      <c r="AI20" t="str">
        <f t="shared" si="3"/>
        <v>0</v>
      </c>
      <c r="AJ20" t="str">
        <f t="shared" si="3"/>
        <v>1</v>
      </c>
      <c r="AK20" t="str">
        <f t="shared" si="3"/>
        <v>1</v>
      </c>
      <c r="AL20" t="str">
        <f t="shared" si="3"/>
        <v>1</v>
      </c>
      <c r="AM20" t="str">
        <f t="shared" si="3"/>
        <v>1</v>
      </c>
      <c r="AN20" t="str">
        <f t="shared" si="3"/>
        <v>1</v>
      </c>
      <c r="AO20" t="str">
        <f t="shared" si="3"/>
        <v>0</v>
      </c>
      <c r="AP20" t="str">
        <f t="shared" si="3"/>
        <v>0</v>
      </c>
      <c r="AQ20" t="str">
        <f t="shared" si="3"/>
        <v>0</v>
      </c>
      <c r="AR20" t="str">
        <f t="shared" si="3"/>
        <v>0</v>
      </c>
      <c r="AS20" t="str">
        <f t="shared" si="3"/>
        <v>0</v>
      </c>
      <c r="AT20" t="str">
        <f t="shared" si="3"/>
        <v>0</v>
      </c>
      <c r="AU20" t="str">
        <f t="shared" si="3"/>
        <v>1</v>
      </c>
      <c r="AV20" t="str">
        <f t="shared" si="3"/>
        <v>0</v>
      </c>
      <c r="AW20" t="str">
        <f t="shared" si="3"/>
        <v>0</v>
      </c>
    </row>
    <row r="21" spans="1:49">
      <c r="A21" s="6" t="str">
        <f>CONCATENATE(A19," + ",A20)</f>
        <v>K5 + E(R4)</v>
      </c>
      <c r="B21" s="1">
        <f>IF(B19=B20,0,1)</f>
        <v>0</v>
      </c>
      <c r="C21" s="1">
        <f t="shared" ref="C21:AW21" si="4">IF(C19=C20,0,1)</f>
        <v>1</v>
      </c>
      <c r="D21" s="1">
        <f t="shared" si="4"/>
        <v>1</v>
      </c>
      <c r="E21" s="1">
        <f t="shared" si="4"/>
        <v>1</v>
      </c>
      <c r="F21" s="1">
        <f t="shared" si="4"/>
        <v>1</v>
      </c>
      <c r="G21" s="1">
        <f t="shared" si="4"/>
        <v>0</v>
      </c>
      <c r="H21" s="1">
        <f t="shared" si="4"/>
        <v>0</v>
      </c>
      <c r="I21" s="1">
        <f t="shared" si="4"/>
        <v>1</v>
      </c>
      <c r="J21" s="1">
        <f t="shared" si="4"/>
        <v>1</v>
      </c>
      <c r="K21" s="1">
        <f t="shared" si="4"/>
        <v>1</v>
      </c>
      <c r="L21" s="1">
        <f t="shared" si="4"/>
        <v>0</v>
      </c>
      <c r="M21" s="1">
        <f t="shared" si="4"/>
        <v>0</v>
      </c>
      <c r="N21" s="1">
        <f t="shared" si="4"/>
        <v>1</v>
      </c>
      <c r="O21" s="1">
        <f t="shared" si="4"/>
        <v>1</v>
      </c>
      <c r="P21" s="1">
        <f t="shared" si="4"/>
        <v>0</v>
      </c>
      <c r="Q21" s="1">
        <f t="shared" si="4"/>
        <v>1</v>
      </c>
      <c r="R21" s="1">
        <f t="shared" si="4"/>
        <v>0</v>
      </c>
      <c r="S21" s="1">
        <f t="shared" si="4"/>
        <v>0</v>
      </c>
      <c r="T21" s="1">
        <f t="shared" si="4"/>
        <v>1</v>
      </c>
      <c r="U21" s="1">
        <f t="shared" si="4"/>
        <v>0</v>
      </c>
      <c r="V21" s="1">
        <f t="shared" si="4"/>
        <v>0</v>
      </c>
      <c r="W21" s="1">
        <f t="shared" si="4"/>
        <v>1</v>
      </c>
      <c r="X21" s="1">
        <f t="shared" si="4"/>
        <v>1</v>
      </c>
      <c r="Y21" s="1">
        <f t="shared" si="4"/>
        <v>1</v>
      </c>
      <c r="Z21" s="1">
        <f t="shared" si="4"/>
        <v>0</v>
      </c>
      <c r="AA21" s="1">
        <f t="shared" si="4"/>
        <v>1</v>
      </c>
      <c r="AB21" s="1">
        <f t="shared" si="4"/>
        <v>0</v>
      </c>
      <c r="AC21" s="1">
        <f t="shared" si="4"/>
        <v>0</v>
      </c>
      <c r="AD21" s="1">
        <f t="shared" si="4"/>
        <v>0</v>
      </c>
      <c r="AE21" s="1">
        <f t="shared" si="4"/>
        <v>0</v>
      </c>
      <c r="AF21" s="1">
        <f t="shared" si="4"/>
        <v>0</v>
      </c>
      <c r="AG21" s="1">
        <f t="shared" si="4"/>
        <v>1</v>
      </c>
      <c r="AH21" s="1">
        <f t="shared" si="4"/>
        <v>1</v>
      </c>
      <c r="AI21" s="1">
        <f t="shared" si="4"/>
        <v>1</v>
      </c>
      <c r="AJ21" s="1">
        <f t="shared" si="4"/>
        <v>1</v>
      </c>
      <c r="AK21" s="1">
        <f t="shared" si="4"/>
        <v>1</v>
      </c>
      <c r="AL21" s="1">
        <f t="shared" si="4"/>
        <v>0</v>
      </c>
      <c r="AM21" s="1">
        <f t="shared" si="4"/>
        <v>1</v>
      </c>
      <c r="AN21" s="1">
        <f t="shared" si="4"/>
        <v>1</v>
      </c>
      <c r="AO21" s="1">
        <f t="shared" si="4"/>
        <v>1</v>
      </c>
      <c r="AP21" s="1">
        <f t="shared" si="4"/>
        <v>0</v>
      </c>
      <c r="AQ21" s="1">
        <f t="shared" si="4"/>
        <v>0</v>
      </c>
      <c r="AR21" s="1">
        <f t="shared" si="4"/>
        <v>0</v>
      </c>
      <c r="AS21" s="1">
        <f t="shared" si="4"/>
        <v>1</v>
      </c>
      <c r="AT21" s="1">
        <f t="shared" si="4"/>
        <v>0</v>
      </c>
      <c r="AU21" s="1">
        <f t="shared" si="4"/>
        <v>1</v>
      </c>
      <c r="AV21" s="1">
        <f t="shared" si="4"/>
        <v>1</v>
      </c>
      <c r="AW21" s="1">
        <f t="shared" si="4"/>
        <v>1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1</v>
      </c>
      <c r="D23">
        <f t="shared" si="5"/>
        <v>1</v>
      </c>
      <c r="E23">
        <f t="shared" si="5"/>
        <v>1</v>
      </c>
      <c r="F23">
        <f t="shared" si="5"/>
        <v>1</v>
      </c>
      <c r="G23">
        <f t="shared" si="5"/>
        <v>0</v>
      </c>
      <c r="H23" t="str">
        <f>CONCATENATE(B23,G23)</f>
        <v>00</v>
      </c>
      <c r="I23" t="str">
        <f>CONCATENATE(C23,D23,E23,F23)</f>
        <v>1111</v>
      </c>
      <c r="J23">
        <f>BIN2DEC(H23)</f>
        <v>0</v>
      </c>
      <c r="K23">
        <f>BIN2DEC(I23)</f>
        <v>15</v>
      </c>
      <c r="L23">
        <f>VLOOKUP(J23,S1_BOX,K23+2,FALSE)</f>
        <v>7</v>
      </c>
      <c r="M23" t="str">
        <f>DEC2BIN(L23,4)</f>
        <v>0111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1</v>
      </c>
      <c r="E24">
        <f t="shared" si="6"/>
        <v>1</v>
      </c>
      <c r="F24">
        <f t="shared" si="6"/>
        <v>0</v>
      </c>
      <c r="G24">
        <f t="shared" si="6"/>
        <v>0</v>
      </c>
      <c r="H24" t="str">
        <f t="shared" ref="H24:H30" si="7">CONCATENATE(B24,G24)</f>
        <v>00</v>
      </c>
      <c r="I24" t="str">
        <f t="shared" ref="I24:I30" si="8">CONCATENATE(C24,D24,E24,F24)</f>
        <v>1110</v>
      </c>
      <c r="J24">
        <f t="shared" ref="J24:K30" si="9">BIN2DEC(H24)</f>
        <v>0</v>
      </c>
      <c r="K24">
        <f t="shared" si="9"/>
        <v>14</v>
      </c>
      <c r="L24">
        <f>VLOOKUP(J24,S2_BOX,K24+2,FALSE)</f>
        <v>5</v>
      </c>
      <c r="M24" t="str">
        <f t="shared" ref="M24:M30" si="10">DEC2BIN(L24,4)</f>
        <v>0101</v>
      </c>
    </row>
    <row r="25" spans="1:49">
      <c r="A25" t="s">
        <v>156</v>
      </c>
      <c r="B25">
        <f>N21</f>
        <v>1</v>
      </c>
      <c r="C25">
        <f t="shared" ref="C25:G25" si="11">O21</f>
        <v>1</v>
      </c>
      <c r="D25">
        <f t="shared" si="11"/>
        <v>0</v>
      </c>
      <c r="E25">
        <f t="shared" si="11"/>
        <v>1</v>
      </c>
      <c r="F25">
        <f t="shared" si="11"/>
        <v>0</v>
      </c>
      <c r="G25">
        <f t="shared" si="11"/>
        <v>0</v>
      </c>
      <c r="H25" t="str">
        <f t="shared" si="7"/>
        <v>10</v>
      </c>
      <c r="I25" t="str">
        <f t="shared" si="8"/>
        <v>1010</v>
      </c>
      <c r="J25">
        <f t="shared" si="9"/>
        <v>2</v>
      </c>
      <c r="K25">
        <f t="shared" si="9"/>
        <v>10</v>
      </c>
      <c r="L25">
        <f>VLOOKUP(J25,S3_BOX,K25+2,FALSE)</f>
        <v>2</v>
      </c>
      <c r="M25" t="str">
        <f t="shared" si="10"/>
        <v>0010</v>
      </c>
    </row>
    <row r="26" spans="1:49">
      <c r="A26" t="s">
        <v>157</v>
      </c>
      <c r="B26">
        <f>T21</f>
        <v>1</v>
      </c>
      <c r="C26">
        <f t="shared" ref="C26:G26" si="12">U21</f>
        <v>0</v>
      </c>
      <c r="D26">
        <f t="shared" si="12"/>
        <v>0</v>
      </c>
      <c r="E26">
        <f t="shared" si="12"/>
        <v>1</v>
      </c>
      <c r="F26">
        <f t="shared" si="12"/>
        <v>1</v>
      </c>
      <c r="G26">
        <f t="shared" si="12"/>
        <v>1</v>
      </c>
      <c r="H26" t="str">
        <f t="shared" si="7"/>
        <v>11</v>
      </c>
      <c r="I26" t="str">
        <f t="shared" si="8"/>
        <v>0011</v>
      </c>
      <c r="J26">
        <f t="shared" si="9"/>
        <v>3</v>
      </c>
      <c r="K26">
        <f t="shared" si="9"/>
        <v>3</v>
      </c>
      <c r="L26">
        <f>VLOOKUP(J26,S4_BOX,K26+2,FALSE)</f>
        <v>6</v>
      </c>
      <c r="M26" t="str">
        <f t="shared" si="10"/>
        <v>0110</v>
      </c>
    </row>
    <row r="27" spans="1:49">
      <c r="A27" t="s">
        <v>158</v>
      </c>
      <c r="B27">
        <f>Z21</f>
        <v>0</v>
      </c>
      <c r="C27">
        <f t="shared" ref="C27:G27" si="13">AA21</f>
        <v>1</v>
      </c>
      <c r="D27">
        <f t="shared" si="13"/>
        <v>0</v>
      </c>
      <c r="E27">
        <f t="shared" si="13"/>
        <v>0</v>
      </c>
      <c r="F27">
        <f t="shared" si="13"/>
        <v>0</v>
      </c>
      <c r="G27">
        <f t="shared" si="13"/>
        <v>0</v>
      </c>
      <c r="H27" t="str">
        <f t="shared" si="7"/>
        <v>00</v>
      </c>
      <c r="I27" t="str">
        <f t="shared" si="8"/>
        <v>1000</v>
      </c>
      <c r="J27">
        <f t="shared" si="9"/>
        <v>0</v>
      </c>
      <c r="K27">
        <f t="shared" si="9"/>
        <v>8</v>
      </c>
      <c r="L27">
        <f>VLOOKUP(J27,S5_BOX,K27+2,FALSE)</f>
        <v>8</v>
      </c>
      <c r="M27" t="str">
        <f t="shared" si="10"/>
        <v>1000</v>
      </c>
    </row>
    <row r="28" spans="1:49">
      <c r="A28" t="s">
        <v>159</v>
      </c>
      <c r="B28">
        <f>AF21</f>
        <v>0</v>
      </c>
      <c r="C28">
        <f t="shared" ref="C28:G28" si="14">AG21</f>
        <v>1</v>
      </c>
      <c r="D28">
        <f t="shared" si="14"/>
        <v>1</v>
      </c>
      <c r="E28">
        <f t="shared" si="14"/>
        <v>1</v>
      </c>
      <c r="F28">
        <f t="shared" si="14"/>
        <v>1</v>
      </c>
      <c r="G28">
        <f t="shared" si="14"/>
        <v>1</v>
      </c>
      <c r="H28" t="str">
        <f t="shared" si="7"/>
        <v>01</v>
      </c>
      <c r="I28" t="str">
        <f t="shared" si="8"/>
        <v>1111</v>
      </c>
      <c r="J28">
        <f t="shared" si="9"/>
        <v>1</v>
      </c>
      <c r="K28">
        <f t="shared" si="9"/>
        <v>15</v>
      </c>
      <c r="L28">
        <f>VLOOKUP(J28,S6_BOX,K28+2,FALSE)</f>
        <v>8</v>
      </c>
      <c r="M28" t="str">
        <f t="shared" si="10"/>
        <v>1000</v>
      </c>
    </row>
    <row r="29" spans="1:49">
      <c r="A29" t="s">
        <v>160</v>
      </c>
      <c r="B29">
        <f>AL21</f>
        <v>0</v>
      </c>
      <c r="C29">
        <f t="shared" ref="C29:G29" si="15">AM21</f>
        <v>1</v>
      </c>
      <c r="D29">
        <f t="shared" si="15"/>
        <v>1</v>
      </c>
      <c r="E29">
        <f t="shared" si="15"/>
        <v>1</v>
      </c>
      <c r="F29">
        <f t="shared" si="15"/>
        <v>0</v>
      </c>
      <c r="G29">
        <f t="shared" si="15"/>
        <v>0</v>
      </c>
      <c r="H29" t="str">
        <f t="shared" si="7"/>
        <v>00</v>
      </c>
      <c r="I29" t="str">
        <f t="shared" si="8"/>
        <v>1110</v>
      </c>
      <c r="J29">
        <f t="shared" si="9"/>
        <v>0</v>
      </c>
      <c r="K29">
        <f t="shared" si="9"/>
        <v>14</v>
      </c>
      <c r="L29">
        <f>VLOOKUP(J29,S7_BOX,K29+2,FALSE)</f>
        <v>6</v>
      </c>
      <c r="M29" t="str">
        <f t="shared" si="10"/>
        <v>0110</v>
      </c>
    </row>
    <row r="30" spans="1:49">
      <c r="A30" t="s">
        <v>161</v>
      </c>
      <c r="B30">
        <f>AR21</f>
        <v>0</v>
      </c>
      <c r="C30">
        <f t="shared" ref="C30:G30" si="16">AS21</f>
        <v>1</v>
      </c>
      <c r="D30">
        <f t="shared" si="16"/>
        <v>0</v>
      </c>
      <c r="E30">
        <f t="shared" si="16"/>
        <v>1</v>
      </c>
      <c r="F30">
        <f t="shared" si="16"/>
        <v>1</v>
      </c>
      <c r="G30">
        <f t="shared" si="16"/>
        <v>1</v>
      </c>
      <c r="H30" t="str">
        <f t="shared" si="7"/>
        <v>01</v>
      </c>
      <c r="I30" t="str">
        <f t="shared" si="8"/>
        <v>1011</v>
      </c>
      <c r="J30">
        <f t="shared" si="9"/>
        <v>1</v>
      </c>
      <c r="K30">
        <f t="shared" si="9"/>
        <v>11</v>
      </c>
      <c r="L30">
        <f>VLOOKUP(J30,S8_BOX,K30+2,FALSE)</f>
        <v>11</v>
      </c>
      <c r="M30" t="str">
        <f t="shared" si="10"/>
        <v>1011</v>
      </c>
    </row>
    <row r="31" spans="1:49">
      <c r="A31" t="s">
        <v>162</v>
      </c>
      <c r="B31" t="str">
        <f>CONCATENATE(M23,M24,M25,M26,M27,M28,M29,M30)</f>
        <v>01110101001001101000100001101011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0</v>
      </c>
      <c r="E34" t="str">
        <f t="shared" si="17"/>
        <v>0</v>
      </c>
      <c r="F34" t="str">
        <f t="shared" si="17"/>
        <v>1</v>
      </c>
      <c r="G34" t="str">
        <f>CONCATENATE(C34,D34,E34,F34)</f>
        <v>0001</v>
      </c>
    </row>
    <row r="35" spans="1:33">
      <c r="B35">
        <v>2</v>
      </c>
      <c r="C35" t="str">
        <f t="shared" si="17"/>
        <v>1</v>
      </c>
      <c r="D35" t="str">
        <f t="shared" si="17"/>
        <v>0</v>
      </c>
      <c r="E35" t="str">
        <f t="shared" si="17"/>
        <v>0</v>
      </c>
      <c r="F35" t="str">
        <f t="shared" si="17"/>
        <v>1</v>
      </c>
      <c r="G35" t="str">
        <f t="shared" ref="G35:G41" si="18">CONCATENATE(C35,D35,E35,F35)</f>
        <v>1001</v>
      </c>
    </row>
    <row r="36" spans="1:33">
      <c r="B36">
        <v>3</v>
      </c>
      <c r="C36" t="str">
        <f t="shared" si="17"/>
        <v>0</v>
      </c>
      <c r="D36" t="str">
        <f t="shared" si="17"/>
        <v>1</v>
      </c>
      <c r="E36" t="str">
        <f t="shared" si="17"/>
        <v>0</v>
      </c>
      <c r="F36" t="str">
        <f t="shared" si="17"/>
        <v>1</v>
      </c>
      <c r="G36" t="str">
        <f t="shared" si="18"/>
        <v>0101</v>
      </c>
    </row>
    <row r="37" spans="1:33">
      <c r="B37">
        <v>4</v>
      </c>
      <c r="C37" t="str">
        <f t="shared" si="17"/>
        <v>0</v>
      </c>
      <c r="D37" t="str">
        <f t="shared" si="17"/>
        <v>0</v>
      </c>
      <c r="E37" t="str">
        <f t="shared" si="17"/>
        <v>1</v>
      </c>
      <c r="F37" t="str">
        <f t="shared" si="17"/>
        <v>0</v>
      </c>
      <c r="G37" t="str">
        <f t="shared" si="18"/>
        <v>0010</v>
      </c>
    </row>
    <row r="38" spans="1:33">
      <c r="B38">
        <v>5</v>
      </c>
      <c r="C38" t="str">
        <f t="shared" si="17"/>
        <v>1</v>
      </c>
      <c r="D38" t="str">
        <f t="shared" si="17"/>
        <v>1</v>
      </c>
      <c r="E38" t="str">
        <f t="shared" si="17"/>
        <v>0</v>
      </c>
      <c r="F38" t="str">
        <f t="shared" si="17"/>
        <v>1</v>
      </c>
      <c r="G38" t="str">
        <f t="shared" si="18"/>
        <v>1101</v>
      </c>
    </row>
    <row r="39" spans="1:33">
      <c r="B39">
        <v>6</v>
      </c>
      <c r="C39" t="str">
        <f t="shared" si="17"/>
        <v>1</v>
      </c>
      <c r="D39" t="str">
        <f t="shared" si="17"/>
        <v>1</v>
      </c>
      <c r="E39" t="str">
        <f t="shared" si="17"/>
        <v>1</v>
      </c>
      <c r="F39" t="str">
        <f t="shared" si="17"/>
        <v>0</v>
      </c>
      <c r="G39" t="str">
        <f t="shared" si="18"/>
        <v>1110</v>
      </c>
    </row>
    <row r="40" spans="1:33">
      <c r="B40">
        <v>7</v>
      </c>
      <c r="C40" t="str">
        <f t="shared" si="17"/>
        <v>0</v>
      </c>
      <c r="D40" t="str">
        <f t="shared" si="17"/>
        <v>0</v>
      </c>
      <c r="E40" t="str">
        <f t="shared" si="17"/>
        <v>0</v>
      </c>
      <c r="F40" t="str">
        <f t="shared" si="17"/>
        <v>1</v>
      </c>
      <c r="G40" t="str">
        <f t="shared" si="18"/>
        <v>0001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1</v>
      </c>
      <c r="F41" t="str">
        <f t="shared" si="17"/>
        <v>0</v>
      </c>
      <c r="G41" t="str">
        <f t="shared" si="18"/>
        <v>0110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00011001010100101101111000010110</v>
      </c>
    </row>
    <row r="44" spans="1:33">
      <c r="B44" t="str">
        <f>MID($B$43,B42,1)</f>
        <v>0</v>
      </c>
      <c r="C44" t="str">
        <f t="shared" ref="C44:AG44" si="19">MID($B$43,C42,1)</f>
        <v>0</v>
      </c>
      <c r="D44" t="str">
        <f t="shared" si="19"/>
        <v>0</v>
      </c>
      <c r="E44" t="str">
        <f t="shared" si="19"/>
        <v>1</v>
      </c>
      <c r="F44" t="str">
        <f t="shared" si="19"/>
        <v>1</v>
      </c>
      <c r="G44" t="str">
        <f t="shared" si="19"/>
        <v>0</v>
      </c>
      <c r="H44" t="str">
        <f t="shared" si="19"/>
        <v>0</v>
      </c>
      <c r="I44" t="str">
        <f t="shared" si="19"/>
        <v>1</v>
      </c>
      <c r="J44" t="str">
        <f t="shared" si="19"/>
        <v>0</v>
      </c>
      <c r="K44" t="str">
        <f t="shared" si="19"/>
        <v>1</v>
      </c>
      <c r="L44" t="str">
        <f t="shared" si="19"/>
        <v>0</v>
      </c>
      <c r="M44" t="str">
        <f t="shared" si="19"/>
        <v>1</v>
      </c>
      <c r="N44" t="str">
        <f t="shared" si="19"/>
        <v>0</v>
      </c>
      <c r="O44" t="str">
        <f t="shared" si="19"/>
        <v>0</v>
      </c>
      <c r="P44" t="str">
        <f t="shared" si="19"/>
        <v>1</v>
      </c>
      <c r="Q44" t="str">
        <f t="shared" si="19"/>
        <v>0</v>
      </c>
      <c r="R44" t="str">
        <f t="shared" si="19"/>
        <v>1</v>
      </c>
      <c r="S44" t="str">
        <f t="shared" si="19"/>
        <v>1</v>
      </c>
      <c r="T44" t="str">
        <f t="shared" si="19"/>
        <v>0</v>
      </c>
      <c r="U44" t="str">
        <f t="shared" si="19"/>
        <v>1</v>
      </c>
      <c r="V44" t="str">
        <f t="shared" si="19"/>
        <v>1</v>
      </c>
      <c r="W44" t="str">
        <f t="shared" si="19"/>
        <v>1</v>
      </c>
      <c r="X44" t="str">
        <f t="shared" si="19"/>
        <v>1</v>
      </c>
      <c r="Y44" t="str">
        <f t="shared" si="19"/>
        <v>0</v>
      </c>
      <c r="Z44" t="str">
        <f t="shared" si="19"/>
        <v>0</v>
      </c>
      <c r="AA44" t="str">
        <f t="shared" si="19"/>
        <v>0</v>
      </c>
      <c r="AB44" t="str">
        <f t="shared" si="19"/>
        <v>0</v>
      </c>
      <c r="AC44" t="str">
        <f t="shared" si="19"/>
        <v>1</v>
      </c>
      <c r="AD44" t="str">
        <f t="shared" si="19"/>
        <v>0</v>
      </c>
      <c r="AE44" t="str">
        <f t="shared" si="19"/>
        <v>1</v>
      </c>
      <c r="AF44" t="str">
        <f t="shared" si="19"/>
        <v>1</v>
      </c>
      <c r="AG44" t="str">
        <f t="shared" si="19"/>
        <v>0</v>
      </c>
    </row>
    <row r="45" spans="1:33">
      <c r="A45" t="str">
        <f>CONCATENATE("L",C4-1)</f>
        <v>L4</v>
      </c>
      <c r="B45" s="8" t="str">
        <f>'R4'!C6</f>
        <v>10111000000010001001010110010001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1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1</v>
      </c>
      <c r="F46" t="str">
        <f t="shared" si="20"/>
        <v>1</v>
      </c>
      <c r="G46" t="str">
        <f t="shared" si="20"/>
        <v>0</v>
      </c>
      <c r="H46" t="str">
        <f t="shared" si="20"/>
        <v>0</v>
      </c>
      <c r="I46" t="str">
        <f t="shared" si="20"/>
        <v>0</v>
      </c>
      <c r="J46" t="str">
        <f t="shared" si="20"/>
        <v>0</v>
      </c>
      <c r="K46" t="str">
        <f t="shared" si="20"/>
        <v>0</v>
      </c>
      <c r="L46" t="str">
        <f t="shared" si="20"/>
        <v>0</v>
      </c>
      <c r="M46" t="str">
        <f t="shared" si="20"/>
        <v>0</v>
      </c>
      <c r="N46" t="str">
        <f t="shared" si="20"/>
        <v>1</v>
      </c>
      <c r="O46" t="str">
        <f t="shared" si="20"/>
        <v>0</v>
      </c>
      <c r="P46" t="str">
        <f t="shared" si="20"/>
        <v>0</v>
      </c>
      <c r="Q46" t="str">
        <f t="shared" si="20"/>
        <v>0</v>
      </c>
      <c r="R46" t="str">
        <f t="shared" si="20"/>
        <v>1</v>
      </c>
      <c r="S46" t="str">
        <f t="shared" si="20"/>
        <v>0</v>
      </c>
      <c r="T46" t="str">
        <f t="shared" si="20"/>
        <v>0</v>
      </c>
      <c r="U46" t="str">
        <f t="shared" si="20"/>
        <v>1</v>
      </c>
      <c r="V46" t="str">
        <f t="shared" si="20"/>
        <v>0</v>
      </c>
      <c r="W46" t="str">
        <f t="shared" si="20"/>
        <v>1</v>
      </c>
      <c r="X46" t="str">
        <f t="shared" si="20"/>
        <v>0</v>
      </c>
      <c r="Y46" t="str">
        <f t="shared" si="20"/>
        <v>1</v>
      </c>
      <c r="Z46" t="str">
        <f t="shared" si="20"/>
        <v>1</v>
      </c>
      <c r="AA46" t="str">
        <f t="shared" si="20"/>
        <v>0</v>
      </c>
      <c r="AB46" t="str">
        <f t="shared" si="20"/>
        <v>0</v>
      </c>
      <c r="AC46" t="str">
        <f t="shared" si="20"/>
        <v>1</v>
      </c>
      <c r="AD46" t="str">
        <f t="shared" si="20"/>
        <v>0</v>
      </c>
      <c r="AE46" t="str">
        <f t="shared" si="20"/>
        <v>0</v>
      </c>
      <c r="AF46" t="str">
        <f t="shared" si="20"/>
        <v>0</v>
      </c>
      <c r="AG46" t="str">
        <f t="shared" si="20"/>
        <v>1</v>
      </c>
    </row>
    <row r="47" spans="1:33">
      <c r="A47" t="str">
        <f>CONCATENATE("R",C4)</f>
        <v>R5</v>
      </c>
      <c r="B47">
        <f>IF(B44=B46,0,1)</f>
        <v>1</v>
      </c>
      <c r="C47">
        <f t="shared" ref="C47:AG47" si="21">IF(C44=C46,0,1)</f>
        <v>0</v>
      </c>
      <c r="D47">
        <f t="shared" si="21"/>
        <v>1</v>
      </c>
      <c r="E47">
        <f t="shared" si="21"/>
        <v>0</v>
      </c>
      <c r="F47">
        <f t="shared" si="21"/>
        <v>0</v>
      </c>
      <c r="G47">
        <f t="shared" si="21"/>
        <v>0</v>
      </c>
      <c r="H47">
        <f t="shared" si="21"/>
        <v>0</v>
      </c>
      <c r="I47">
        <f t="shared" si="21"/>
        <v>1</v>
      </c>
      <c r="J47">
        <f t="shared" si="21"/>
        <v>0</v>
      </c>
      <c r="K47">
        <f t="shared" si="21"/>
        <v>1</v>
      </c>
      <c r="L47">
        <f t="shared" si="21"/>
        <v>0</v>
      </c>
      <c r="M47">
        <f t="shared" si="21"/>
        <v>1</v>
      </c>
      <c r="N47">
        <f t="shared" si="21"/>
        <v>1</v>
      </c>
      <c r="O47">
        <f t="shared" si="21"/>
        <v>0</v>
      </c>
      <c r="P47">
        <f t="shared" si="21"/>
        <v>1</v>
      </c>
      <c r="Q47">
        <f t="shared" si="21"/>
        <v>0</v>
      </c>
      <c r="R47">
        <f t="shared" si="21"/>
        <v>0</v>
      </c>
      <c r="S47">
        <f t="shared" si="21"/>
        <v>1</v>
      </c>
      <c r="T47">
        <f t="shared" si="21"/>
        <v>0</v>
      </c>
      <c r="U47">
        <f t="shared" si="21"/>
        <v>0</v>
      </c>
      <c r="V47">
        <f t="shared" si="21"/>
        <v>1</v>
      </c>
      <c r="W47">
        <f t="shared" si="21"/>
        <v>0</v>
      </c>
      <c r="X47">
        <f t="shared" si="21"/>
        <v>1</v>
      </c>
      <c r="Y47">
        <f t="shared" si="21"/>
        <v>1</v>
      </c>
      <c r="Z47">
        <f t="shared" si="21"/>
        <v>1</v>
      </c>
      <c r="AA47">
        <f t="shared" si="21"/>
        <v>0</v>
      </c>
      <c r="AB47">
        <f t="shared" si="21"/>
        <v>0</v>
      </c>
      <c r="AC47">
        <f t="shared" si="21"/>
        <v>0</v>
      </c>
      <c r="AD47">
        <f t="shared" si="21"/>
        <v>0</v>
      </c>
      <c r="AE47">
        <f t="shared" si="21"/>
        <v>1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1010</v>
      </c>
      <c r="F48" t="str">
        <f>CONCATENATE(F47,G47,H47,I47)</f>
        <v>0001</v>
      </c>
      <c r="J48" t="str">
        <f>CONCATENATE(J47,K47,L47,M47)</f>
        <v>0101</v>
      </c>
      <c r="N48" t="str">
        <f>CONCATENATE(N47,O47,P47,Q47)</f>
        <v>1010</v>
      </c>
      <c r="R48" t="str">
        <f>CONCATENATE(R47,S47,T47,U47)</f>
        <v>0100</v>
      </c>
      <c r="V48" t="str">
        <f>CONCATENATE(V47,W47,X47,Y47)</f>
        <v>1011</v>
      </c>
      <c r="Z48" t="str">
        <f>CONCATENATE(Z47,AA47,AB47,AC47)</f>
        <v>1000</v>
      </c>
      <c r="AD48" t="str">
        <f>CONCATENATE(AD47,AE47,AF47,AG47)</f>
        <v>0111</v>
      </c>
    </row>
    <row r="49" spans="1:2">
      <c r="A49" t="str">
        <f>A47</f>
        <v>R5</v>
      </c>
      <c r="B49" t="str">
        <f>CONCATENATE(B48,F48,J48,N48,R48,V48,Z48,AD48)</f>
        <v>10100001010110100100101110000111</v>
      </c>
    </row>
    <row r="50" spans="1:2">
      <c r="A50" t="str">
        <f>CONCATENATE(A49," hex")</f>
        <v>R5 hex</v>
      </c>
      <c r="B50" t="str">
        <f>CONCATENATE(BIN2HEX(B48),BIN2HEX(F48),BIN2HEX(J48),BIN2HEX(N48),BIN2HEX(R48),BIN2HEX(V48),BIN2HEX(Z48),BIN2HEX(AD48))</f>
        <v>A15A4B87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50"/>
  <sheetViews>
    <sheetView topLeftCell="A34" workbookViewId="0">
      <selection activeCell="A34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6</v>
      </c>
    </row>
    <row r="5" spans="1:13">
      <c r="A5" t="str">
        <f>CONCATENATE("K",C4)</f>
        <v>K6</v>
      </c>
      <c r="C5" s="8" t="str">
        <f>Kn!O7</f>
        <v>110000011001010010001110100001110100011101011110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L6   =</v>
      </c>
      <c r="B6" t="str">
        <f>CONCATENATE("R",(C4-1))</f>
        <v>R5</v>
      </c>
      <c r="C6" s="8" t="str">
        <f>'R5'!B49</f>
        <v>10100001010110100100101110000111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E(R5)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1</v>
      </c>
      <c r="E8" s="1" t="str">
        <f t="shared" si="0"/>
        <v>0</v>
      </c>
      <c r="F8" s="1" t="str">
        <f t="shared" si="0"/>
        <v>1</v>
      </c>
      <c r="G8" s="1" t="str">
        <f t="shared" si="0"/>
        <v>0</v>
      </c>
      <c r="H8" s="1" t="str">
        <f t="shared" si="0"/>
        <v>0</v>
      </c>
      <c r="I8" s="6" t="str">
        <f>CONCATENATE(C8,D8,E8,F8,G8,H8)</f>
        <v>110100</v>
      </c>
    </row>
    <row r="9" spans="1:13">
      <c r="B9">
        <v>2</v>
      </c>
      <c r="C9" s="1" t="str">
        <f t="shared" si="0"/>
        <v>0</v>
      </c>
      <c r="D9" s="1" t="str">
        <f t="shared" si="0"/>
        <v>0</v>
      </c>
      <c r="E9" s="1" t="str">
        <f t="shared" si="0"/>
        <v>0</v>
      </c>
      <c r="F9" s="1" t="str">
        <f t="shared" si="0"/>
        <v>0</v>
      </c>
      <c r="G9" s="1" t="str">
        <f t="shared" si="0"/>
        <v>1</v>
      </c>
      <c r="H9" s="1" t="str">
        <f t="shared" si="0"/>
        <v>0</v>
      </c>
      <c r="I9" s="6" t="str">
        <f t="shared" ref="I9:I15" si="1">CONCATENATE(C9,D9,E9,F9,G9,H9)</f>
        <v>000010</v>
      </c>
    </row>
    <row r="10" spans="1:13">
      <c r="B10">
        <v>3</v>
      </c>
      <c r="C10" s="1" t="str">
        <f t="shared" si="0"/>
        <v>1</v>
      </c>
      <c r="D10" s="1" t="str">
        <f t="shared" si="0"/>
        <v>0</v>
      </c>
      <c r="E10" s="1" t="str">
        <f t="shared" si="0"/>
        <v>1</v>
      </c>
      <c r="F10" s="1" t="str">
        <f t="shared" si="0"/>
        <v>0</v>
      </c>
      <c r="G10" s="1" t="str">
        <f t="shared" si="0"/>
        <v>1</v>
      </c>
      <c r="H10" s="1" t="str">
        <f t="shared" si="0"/>
        <v>1</v>
      </c>
      <c r="I10" s="6" t="str">
        <f t="shared" si="1"/>
        <v>101011</v>
      </c>
    </row>
    <row r="11" spans="1:13">
      <c r="B11">
        <v>4</v>
      </c>
      <c r="C11" s="1" t="str">
        <f t="shared" si="0"/>
        <v>1</v>
      </c>
      <c r="D11" s="1" t="str">
        <f t="shared" si="0"/>
        <v>1</v>
      </c>
      <c r="E11" s="1" t="str">
        <f t="shared" si="0"/>
        <v>0</v>
      </c>
      <c r="F11" s="1" t="str">
        <f t="shared" si="0"/>
        <v>1</v>
      </c>
      <c r="G11" s="1" t="str">
        <f t="shared" si="0"/>
        <v>0</v>
      </c>
      <c r="H11" s="1" t="str">
        <f t="shared" si="0"/>
        <v>0</v>
      </c>
      <c r="I11" s="6" t="str">
        <f t="shared" si="1"/>
        <v>110100</v>
      </c>
    </row>
    <row r="12" spans="1:13">
      <c r="B12">
        <v>5</v>
      </c>
      <c r="C12" s="1" t="str">
        <f t="shared" si="0"/>
        <v>0</v>
      </c>
      <c r="D12" s="1" t="str">
        <f t="shared" si="0"/>
        <v>0</v>
      </c>
      <c r="E12" s="1" t="str">
        <f t="shared" si="0"/>
        <v>1</v>
      </c>
      <c r="F12" s="1" t="str">
        <f t="shared" si="0"/>
        <v>0</v>
      </c>
      <c r="G12" s="1" t="str">
        <f t="shared" si="0"/>
        <v>0</v>
      </c>
      <c r="H12" s="1" t="str">
        <f t="shared" si="0"/>
        <v>1</v>
      </c>
      <c r="I12" s="6" t="str">
        <f t="shared" si="1"/>
        <v>001001</v>
      </c>
    </row>
    <row r="13" spans="1:13">
      <c r="B13">
        <v>6</v>
      </c>
      <c r="C13" s="1" t="str">
        <f t="shared" si="0"/>
        <v>0</v>
      </c>
      <c r="D13" s="1" t="str">
        <f t="shared" si="0"/>
        <v>1</v>
      </c>
      <c r="E13" s="1" t="str">
        <f t="shared" si="0"/>
        <v>0</v>
      </c>
      <c r="F13" s="1" t="str">
        <f t="shared" si="0"/>
        <v>1</v>
      </c>
      <c r="G13" s="1" t="str">
        <f t="shared" si="0"/>
        <v>1</v>
      </c>
      <c r="H13" s="1" t="str">
        <f t="shared" si="0"/>
        <v>1</v>
      </c>
      <c r="I13" s="6" t="str">
        <f t="shared" si="1"/>
        <v>010111</v>
      </c>
    </row>
    <row r="14" spans="1:13">
      <c r="B14">
        <v>7</v>
      </c>
      <c r="C14" s="1" t="str">
        <f t="shared" si="0"/>
        <v>1</v>
      </c>
      <c r="D14" s="1" t="str">
        <f t="shared" si="0"/>
        <v>1</v>
      </c>
      <c r="E14" s="1" t="str">
        <f t="shared" si="0"/>
        <v>0</v>
      </c>
      <c r="F14" s="1" t="str">
        <f t="shared" si="0"/>
        <v>0</v>
      </c>
      <c r="G14" s="1" t="str">
        <f t="shared" si="0"/>
        <v>0</v>
      </c>
      <c r="H14" s="1" t="str">
        <f t="shared" si="0"/>
        <v>0</v>
      </c>
      <c r="I14" s="6" t="str">
        <f t="shared" si="1"/>
        <v>110000</v>
      </c>
    </row>
    <row r="15" spans="1:13">
      <c r="B15">
        <v>8</v>
      </c>
      <c r="C15" s="1" t="str">
        <f t="shared" si="0"/>
        <v>0</v>
      </c>
      <c r="D15" s="1" t="str">
        <f t="shared" si="0"/>
        <v>0</v>
      </c>
      <c r="E15" s="1" t="str">
        <f t="shared" si="0"/>
        <v>1</v>
      </c>
      <c r="F15" s="1" t="str">
        <f t="shared" si="0"/>
        <v>1</v>
      </c>
      <c r="G15" s="1" t="str">
        <f t="shared" si="0"/>
        <v>1</v>
      </c>
      <c r="H15" s="1" t="str">
        <f t="shared" si="0"/>
        <v>1</v>
      </c>
      <c r="I15" s="6" t="str">
        <f t="shared" si="1"/>
        <v>001111</v>
      </c>
    </row>
    <row r="16" spans="1:13">
      <c r="A16" t="str">
        <f>A8</f>
        <v>E(R5)</v>
      </c>
      <c r="B16" t="str">
        <f>CONCATENATE(I8,I9,I10,I11,I12,I13,I14,I15)</f>
        <v>110100000010101011110100001001010111110000001111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K6</v>
      </c>
      <c r="B19" t="str">
        <f>MID($C$5,B18,1)</f>
        <v>1</v>
      </c>
      <c r="C19" t="str">
        <f t="shared" ref="C19:AW19" si="2">MID($C$5,C18,1)</f>
        <v>1</v>
      </c>
      <c r="D19" t="str">
        <f t="shared" si="2"/>
        <v>0</v>
      </c>
      <c r="E19" t="str">
        <f t="shared" si="2"/>
        <v>0</v>
      </c>
      <c r="F19" t="str">
        <f t="shared" si="2"/>
        <v>0</v>
      </c>
      <c r="G19" t="str">
        <f t="shared" si="2"/>
        <v>0</v>
      </c>
      <c r="H19" t="str">
        <f t="shared" si="2"/>
        <v>0</v>
      </c>
      <c r="I19" t="str">
        <f t="shared" si="2"/>
        <v>1</v>
      </c>
      <c r="J19" t="str">
        <f t="shared" si="2"/>
        <v>1</v>
      </c>
      <c r="K19" t="str">
        <f t="shared" si="2"/>
        <v>0</v>
      </c>
      <c r="L19" t="str">
        <f t="shared" si="2"/>
        <v>0</v>
      </c>
      <c r="M19" t="str">
        <f t="shared" si="2"/>
        <v>1</v>
      </c>
      <c r="N19" t="str">
        <f t="shared" si="2"/>
        <v>0</v>
      </c>
      <c r="O19" t="str">
        <f t="shared" si="2"/>
        <v>1</v>
      </c>
      <c r="P19" t="str">
        <f t="shared" si="2"/>
        <v>0</v>
      </c>
      <c r="Q19" t="str">
        <f t="shared" si="2"/>
        <v>0</v>
      </c>
      <c r="R19" t="str">
        <f t="shared" si="2"/>
        <v>1</v>
      </c>
      <c r="S19" t="str">
        <f t="shared" si="2"/>
        <v>0</v>
      </c>
      <c r="T19" t="str">
        <f t="shared" si="2"/>
        <v>0</v>
      </c>
      <c r="U19" t="str">
        <f t="shared" si="2"/>
        <v>0</v>
      </c>
      <c r="V19" t="str">
        <f t="shared" si="2"/>
        <v>1</v>
      </c>
      <c r="W19" t="str">
        <f t="shared" si="2"/>
        <v>1</v>
      </c>
      <c r="X19" t="str">
        <f t="shared" si="2"/>
        <v>1</v>
      </c>
      <c r="Y19" t="str">
        <f t="shared" si="2"/>
        <v>0</v>
      </c>
      <c r="Z19" t="str">
        <f t="shared" si="2"/>
        <v>1</v>
      </c>
      <c r="AA19" t="str">
        <f t="shared" si="2"/>
        <v>0</v>
      </c>
      <c r="AB19" t="str">
        <f t="shared" si="2"/>
        <v>0</v>
      </c>
      <c r="AC19" t="str">
        <f t="shared" si="2"/>
        <v>0</v>
      </c>
      <c r="AD19" t="str">
        <f t="shared" si="2"/>
        <v>0</v>
      </c>
      <c r="AE19" t="str">
        <f t="shared" si="2"/>
        <v>1</v>
      </c>
      <c r="AF19" t="str">
        <f t="shared" si="2"/>
        <v>1</v>
      </c>
      <c r="AG19" t="str">
        <f t="shared" si="2"/>
        <v>1</v>
      </c>
      <c r="AH19" t="str">
        <f t="shared" si="2"/>
        <v>0</v>
      </c>
      <c r="AI19" t="str">
        <f t="shared" si="2"/>
        <v>1</v>
      </c>
      <c r="AJ19" t="str">
        <f t="shared" si="2"/>
        <v>0</v>
      </c>
      <c r="AK19" t="str">
        <f t="shared" si="2"/>
        <v>0</v>
      </c>
      <c r="AL19" t="str">
        <f t="shared" si="2"/>
        <v>0</v>
      </c>
      <c r="AM19" t="str">
        <f t="shared" si="2"/>
        <v>1</v>
      </c>
      <c r="AN19" t="str">
        <f t="shared" si="2"/>
        <v>1</v>
      </c>
      <c r="AO19" t="str">
        <f t="shared" si="2"/>
        <v>1</v>
      </c>
      <c r="AP19" t="str">
        <f t="shared" si="2"/>
        <v>0</v>
      </c>
      <c r="AQ19" t="str">
        <f t="shared" si="2"/>
        <v>1</v>
      </c>
      <c r="AR19" t="str">
        <f t="shared" si="2"/>
        <v>0</v>
      </c>
      <c r="AS19" t="str">
        <f t="shared" si="2"/>
        <v>1</v>
      </c>
      <c r="AT19" t="str">
        <f t="shared" si="2"/>
        <v>1</v>
      </c>
      <c r="AU19" t="str">
        <f t="shared" si="2"/>
        <v>1</v>
      </c>
      <c r="AV19" t="str">
        <f t="shared" si="2"/>
        <v>1</v>
      </c>
      <c r="AW19" t="str">
        <f t="shared" si="2"/>
        <v>0</v>
      </c>
    </row>
    <row r="20" spans="1:49">
      <c r="A20" t="str">
        <f>A16</f>
        <v>E(R5)</v>
      </c>
      <c r="B20" t="str">
        <f>MID($B$16,B18,1)</f>
        <v>1</v>
      </c>
      <c r="C20" t="str">
        <f t="shared" ref="C20:AW20" si="3">MID($B$16,C18,1)</f>
        <v>1</v>
      </c>
      <c r="D20" t="str">
        <f t="shared" si="3"/>
        <v>0</v>
      </c>
      <c r="E20" t="str">
        <f t="shared" si="3"/>
        <v>1</v>
      </c>
      <c r="F20" t="str">
        <f t="shared" si="3"/>
        <v>0</v>
      </c>
      <c r="G20" t="str">
        <f t="shared" si="3"/>
        <v>0</v>
      </c>
      <c r="H20" t="str">
        <f t="shared" si="3"/>
        <v>0</v>
      </c>
      <c r="I20" t="str">
        <f t="shared" si="3"/>
        <v>0</v>
      </c>
      <c r="J20" t="str">
        <f t="shared" si="3"/>
        <v>0</v>
      </c>
      <c r="K20" t="str">
        <f t="shared" si="3"/>
        <v>0</v>
      </c>
      <c r="L20" t="str">
        <f t="shared" si="3"/>
        <v>1</v>
      </c>
      <c r="M20" t="str">
        <f t="shared" si="3"/>
        <v>0</v>
      </c>
      <c r="N20" t="str">
        <f t="shared" si="3"/>
        <v>1</v>
      </c>
      <c r="O20" t="str">
        <f t="shared" si="3"/>
        <v>0</v>
      </c>
      <c r="P20" t="str">
        <f t="shared" si="3"/>
        <v>1</v>
      </c>
      <c r="Q20" t="str">
        <f t="shared" si="3"/>
        <v>0</v>
      </c>
      <c r="R20" t="str">
        <f t="shared" si="3"/>
        <v>1</v>
      </c>
      <c r="S20" t="str">
        <f t="shared" si="3"/>
        <v>1</v>
      </c>
      <c r="T20" t="str">
        <f t="shared" si="3"/>
        <v>1</v>
      </c>
      <c r="U20" t="str">
        <f t="shared" si="3"/>
        <v>1</v>
      </c>
      <c r="V20" t="str">
        <f t="shared" si="3"/>
        <v>0</v>
      </c>
      <c r="W20" t="str">
        <f t="shared" si="3"/>
        <v>1</v>
      </c>
      <c r="X20" t="str">
        <f t="shared" si="3"/>
        <v>0</v>
      </c>
      <c r="Y20" t="str">
        <f t="shared" si="3"/>
        <v>0</v>
      </c>
      <c r="Z20" t="str">
        <f t="shared" si="3"/>
        <v>0</v>
      </c>
      <c r="AA20" t="str">
        <f t="shared" si="3"/>
        <v>0</v>
      </c>
      <c r="AB20" t="str">
        <f t="shared" si="3"/>
        <v>1</v>
      </c>
      <c r="AC20" t="str">
        <f t="shared" si="3"/>
        <v>0</v>
      </c>
      <c r="AD20" t="str">
        <f t="shared" si="3"/>
        <v>0</v>
      </c>
      <c r="AE20" t="str">
        <f t="shared" si="3"/>
        <v>1</v>
      </c>
      <c r="AF20" t="str">
        <f t="shared" si="3"/>
        <v>0</v>
      </c>
      <c r="AG20" t="str">
        <f t="shared" si="3"/>
        <v>1</v>
      </c>
      <c r="AH20" t="str">
        <f t="shared" si="3"/>
        <v>0</v>
      </c>
      <c r="AI20" t="str">
        <f t="shared" si="3"/>
        <v>1</v>
      </c>
      <c r="AJ20" t="str">
        <f t="shared" si="3"/>
        <v>1</v>
      </c>
      <c r="AK20" t="str">
        <f t="shared" si="3"/>
        <v>1</v>
      </c>
      <c r="AL20" t="str">
        <f t="shared" si="3"/>
        <v>1</v>
      </c>
      <c r="AM20" t="str">
        <f t="shared" si="3"/>
        <v>1</v>
      </c>
      <c r="AN20" t="str">
        <f t="shared" si="3"/>
        <v>0</v>
      </c>
      <c r="AO20" t="str">
        <f t="shared" si="3"/>
        <v>0</v>
      </c>
      <c r="AP20" t="str">
        <f t="shared" si="3"/>
        <v>0</v>
      </c>
      <c r="AQ20" t="str">
        <f t="shared" si="3"/>
        <v>0</v>
      </c>
      <c r="AR20" t="str">
        <f t="shared" si="3"/>
        <v>0</v>
      </c>
      <c r="AS20" t="str">
        <f t="shared" si="3"/>
        <v>0</v>
      </c>
      <c r="AT20" t="str">
        <f t="shared" si="3"/>
        <v>1</v>
      </c>
      <c r="AU20" t="str">
        <f t="shared" si="3"/>
        <v>1</v>
      </c>
      <c r="AV20" t="str">
        <f t="shared" si="3"/>
        <v>1</v>
      </c>
      <c r="AW20" t="str">
        <f t="shared" si="3"/>
        <v>1</v>
      </c>
    </row>
    <row r="21" spans="1:49">
      <c r="A21" s="6" t="str">
        <f>CONCATENATE(A19," + ",A20)</f>
        <v>K6 + E(R5)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0</v>
      </c>
      <c r="E21" s="1">
        <f t="shared" si="4"/>
        <v>1</v>
      </c>
      <c r="F21" s="1">
        <f t="shared" si="4"/>
        <v>0</v>
      </c>
      <c r="G21" s="1">
        <f t="shared" si="4"/>
        <v>0</v>
      </c>
      <c r="H21" s="1">
        <f t="shared" si="4"/>
        <v>0</v>
      </c>
      <c r="I21" s="1">
        <f t="shared" si="4"/>
        <v>1</v>
      </c>
      <c r="J21" s="1">
        <f t="shared" si="4"/>
        <v>1</v>
      </c>
      <c r="K21" s="1">
        <f t="shared" si="4"/>
        <v>0</v>
      </c>
      <c r="L21" s="1">
        <f t="shared" si="4"/>
        <v>1</v>
      </c>
      <c r="M21" s="1">
        <f t="shared" si="4"/>
        <v>1</v>
      </c>
      <c r="N21" s="1">
        <f t="shared" si="4"/>
        <v>1</v>
      </c>
      <c r="O21" s="1">
        <f t="shared" si="4"/>
        <v>1</v>
      </c>
      <c r="P21" s="1">
        <f t="shared" si="4"/>
        <v>1</v>
      </c>
      <c r="Q21" s="1">
        <f t="shared" si="4"/>
        <v>0</v>
      </c>
      <c r="R21" s="1">
        <f t="shared" si="4"/>
        <v>0</v>
      </c>
      <c r="S21" s="1">
        <f t="shared" si="4"/>
        <v>1</v>
      </c>
      <c r="T21" s="1">
        <f t="shared" si="4"/>
        <v>1</v>
      </c>
      <c r="U21" s="1">
        <f t="shared" si="4"/>
        <v>1</v>
      </c>
      <c r="V21" s="1">
        <f t="shared" si="4"/>
        <v>1</v>
      </c>
      <c r="W21" s="1">
        <f t="shared" si="4"/>
        <v>0</v>
      </c>
      <c r="X21" s="1">
        <f t="shared" si="4"/>
        <v>1</v>
      </c>
      <c r="Y21" s="1">
        <f t="shared" si="4"/>
        <v>0</v>
      </c>
      <c r="Z21" s="1">
        <f t="shared" si="4"/>
        <v>1</v>
      </c>
      <c r="AA21" s="1">
        <f t="shared" si="4"/>
        <v>0</v>
      </c>
      <c r="AB21" s="1">
        <f t="shared" si="4"/>
        <v>1</v>
      </c>
      <c r="AC21" s="1">
        <f t="shared" si="4"/>
        <v>0</v>
      </c>
      <c r="AD21" s="1">
        <f t="shared" si="4"/>
        <v>0</v>
      </c>
      <c r="AE21" s="1">
        <f t="shared" si="4"/>
        <v>0</v>
      </c>
      <c r="AF21" s="1">
        <f t="shared" si="4"/>
        <v>1</v>
      </c>
      <c r="AG21" s="1">
        <f t="shared" si="4"/>
        <v>0</v>
      </c>
      <c r="AH21" s="1">
        <f t="shared" si="4"/>
        <v>0</v>
      </c>
      <c r="AI21" s="1">
        <f t="shared" si="4"/>
        <v>0</v>
      </c>
      <c r="AJ21" s="1">
        <f t="shared" si="4"/>
        <v>1</v>
      </c>
      <c r="AK21" s="1">
        <f t="shared" si="4"/>
        <v>1</v>
      </c>
      <c r="AL21" s="1">
        <f t="shared" si="4"/>
        <v>1</v>
      </c>
      <c r="AM21" s="1">
        <f t="shared" si="4"/>
        <v>0</v>
      </c>
      <c r="AN21" s="1">
        <f t="shared" si="4"/>
        <v>1</v>
      </c>
      <c r="AO21" s="1">
        <f t="shared" si="4"/>
        <v>1</v>
      </c>
      <c r="AP21" s="1">
        <f t="shared" si="4"/>
        <v>0</v>
      </c>
      <c r="AQ21" s="1">
        <f t="shared" si="4"/>
        <v>1</v>
      </c>
      <c r="AR21" s="1">
        <f t="shared" si="4"/>
        <v>0</v>
      </c>
      <c r="AS21" s="1">
        <f t="shared" si="4"/>
        <v>1</v>
      </c>
      <c r="AT21" s="1">
        <f t="shared" si="4"/>
        <v>0</v>
      </c>
      <c r="AU21" s="1">
        <f t="shared" si="4"/>
        <v>0</v>
      </c>
      <c r="AV21" s="1">
        <f t="shared" si="4"/>
        <v>0</v>
      </c>
      <c r="AW21" s="1">
        <f t="shared" si="4"/>
        <v>1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0</v>
      </c>
      <c r="E23">
        <f t="shared" si="5"/>
        <v>1</v>
      </c>
      <c r="F23">
        <f t="shared" si="5"/>
        <v>0</v>
      </c>
      <c r="G23">
        <f t="shared" si="5"/>
        <v>0</v>
      </c>
      <c r="H23" t="str">
        <f>CONCATENATE(B23,G23)</f>
        <v>00</v>
      </c>
      <c r="I23" t="str">
        <f>CONCATENATE(C23,D23,E23,F23)</f>
        <v>0010</v>
      </c>
      <c r="J23">
        <f>BIN2DEC(H23)</f>
        <v>0</v>
      </c>
      <c r="K23">
        <f>BIN2DEC(I23)</f>
        <v>2</v>
      </c>
      <c r="L23">
        <f>VLOOKUP(J23,S1_BOX,K23+2,FALSE)</f>
        <v>13</v>
      </c>
      <c r="M23" t="str">
        <f>DEC2BIN(L23,4)</f>
        <v>1101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1</v>
      </c>
      <c r="E24">
        <f t="shared" si="6"/>
        <v>0</v>
      </c>
      <c r="F24">
        <f t="shared" si="6"/>
        <v>1</v>
      </c>
      <c r="G24">
        <f t="shared" si="6"/>
        <v>1</v>
      </c>
      <c r="H24" t="str">
        <f t="shared" ref="H24:H30" si="7">CONCATENATE(B24,G24)</f>
        <v>01</v>
      </c>
      <c r="I24" t="str">
        <f t="shared" ref="I24:I30" si="8">CONCATENATE(C24,D24,E24,F24)</f>
        <v>1101</v>
      </c>
      <c r="J24">
        <f t="shared" ref="J24:K30" si="9">BIN2DEC(H24)</f>
        <v>1</v>
      </c>
      <c r="K24">
        <f t="shared" si="9"/>
        <v>13</v>
      </c>
      <c r="L24">
        <f>VLOOKUP(J24,S2_BOX,K24+2,FALSE)</f>
        <v>9</v>
      </c>
      <c r="M24" t="str">
        <f t="shared" ref="M24:M30" si="10">DEC2BIN(L24,4)</f>
        <v>1001</v>
      </c>
    </row>
    <row r="25" spans="1:49">
      <c r="A25" t="s">
        <v>156</v>
      </c>
      <c r="B25">
        <f>N21</f>
        <v>1</v>
      </c>
      <c r="C25">
        <f t="shared" ref="C25:G25" si="11">O21</f>
        <v>1</v>
      </c>
      <c r="D25">
        <f t="shared" si="11"/>
        <v>1</v>
      </c>
      <c r="E25">
        <f t="shared" si="11"/>
        <v>0</v>
      </c>
      <c r="F25">
        <f t="shared" si="11"/>
        <v>0</v>
      </c>
      <c r="G25">
        <f t="shared" si="11"/>
        <v>1</v>
      </c>
      <c r="H25" t="str">
        <f t="shared" si="7"/>
        <v>11</v>
      </c>
      <c r="I25" t="str">
        <f t="shared" si="8"/>
        <v>1100</v>
      </c>
      <c r="J25">
        <f t="shared" si="9"/>
        <v>3</v>
      </c>
      <c r="K25">
        <f t="shared" si="9"/>
        <v>12</v>
      </c>
      <c r="L25">
        <f>VLOOKUP(J25,S3_BOX,K25+2,FALSE)</f>
        <v>11</v>
      </c>
      <c r="M25" t="str">
        <f t="shared" si="10"/>
        <v>1011</v>
      </c>
    </row>
    <row r="26" spans="1:49">
      <c r="A26" t="s">
        <v>157</v>
      </c>
      <c r="B26">
        <f>T21</f>
        <v>1</v>
      </c>
      <c r="C26">
        <f t="shared" ref="C26:G26" si="12">U21</f>
        <v>1</v>
      </c>
      <c r="D26">
        <f t="shared" si="12"/>
        <v>1</v>
      </c>
      <c r="E26">
        <f t="shared" si="12"/>
        <v>0</v>
      </c>
      <c r="F26">
        <f t="shared" si="12"/>
        <v>1</v>
      </c>
      <c r="G26">
        <f t="shared" si="12"/>
        <v>0</v>
      </c>
      <c r="H26" t="str">
        <f t="shared" si="7"/>
        <v>10</v>
      </c>
      <c r="I26" t="str">
        <f t="shared" si="8"/>
        <v>1101</v>
      </c>
      <c r="J26">
        <f t="shared" si="9"/>
        <v>2</v>
      </c>
      <c r="K26">
        <f t="shared" si="9"/>
        <v>13</v>
      </c>
      <c r="L26">
        <f>VLOOKUP(J26,S4_BOX,K26+2,FALSE)</f>
        <v>2</v>
      </c>
      <c r="M26" t="str">
        <f t="shared" si="10"/>
        <v>0010</v>
      </c>
    </row>
    <row r="27" spans="1:49">
      <c r="A27" t="s">
        <v>158</v>
      </c>
      <c r="B27">
        <f>Z21</f>
        <v>1</v>
      </c>
      <c r="C27">
        <f t="shared" ref="C27:G27" si="13">AA21</f>
        <v>0</v>
      </c>
      <c r="D27">
        <f t="shared" si="13"/>
        <v>1</v>
      </c>
      <c r="E27">
        <f t="shared" si="13"/>
        <v>0</v>
      </c>
      <c r="F27">
        <f t="shared" si="13"/>
        <v>0</v>
      </c>
      <c r="G27">
        <f t="shared" si="13"/>
        <v>0</v>
      </c>
      <c r="H27" t="str">
        <f t="shared" si="7"/>
        <v>10</v>
      </c>
      <c r="I27" t="str">
        <f t="shared" si="8"/>
        <v>0100</v>
      </c>
      <c r="J27">
        <f t="shared" si="9"/>
        <v>2</v>
      </c>
      <c r="K27">
        <f t="shared" si="9"/>
        <v>4</v>
      </c>
      <c r="L27">
        <f>VLOOKUP(J27,S5_BOX,K27+2,FALSE)</f>
        <v>10</v>
      </c>
      <c r="M27" t="str">
        <f t="shared" si="10"/>
        <v>1010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0</v>
      </c>
      <c r="E28">
        <f t="shared" si="14"/>
        <v>0</v>
      </c>
      <c r="F28">
        <f t="shared" si="14"/>
        <v>1</v>
      </c>
      <c r="G28">
        <f t="shared" si="14"/>
        <v>1</v>
      </c>
      <c r="H28" t="str">
        <f t="shared" si="7"/>
        <v>11</v>
      </c>
      <c r="I28" t="str">
        <f t="shared" si="8"/>
        <v>0001</v>
      </c>
      <c r="J28">
        <f t="shared" si="9"/>
        <v>3</v>
      </c>
      <c r="K28">
        <f t="shared" si="9"/>
        <v>1</v>
      </c>
      <c r="L28">
        <f>VLOOKUP(J28,S6_BOX,K28+2,FALSE)</f>
        <v>3</v>
      </c>
      <c r="M28" t="str">
        <f t="shared" si="10"/>
        <v>0011</v>
      </c>
    </row>
    <row r="29" spans="1:49">
      <c r="A29" t="s">
        <v>160</v>
      </c>
      <c r="B29">
        <f>AL21</f>
        <v>1</v>
      </c>
      <c r="C29">
        <f t="shared" ref="C29:G29" si="15">AM21</f>
        <v>0</v>
      </c>
      <c r="D29">
        <f t="shared" si="15"/>
        <v>1</v>
      </c>
      <c r="E29">
        <f t="shared" si="15"/>
        <v>1</v>
      </c>
      <c r="F29">
        <f t="shared" si="15"/>
        <v>0</v>
      </c>
      <c r="G29">
        <f t="shared" si="15"/>
        <v>1</v>
      </c>
      <c r="H29" t="str">
        <f t="shared" si="7"/>
        <v>11</v>
      </c>
      <c r="I29" t="str">
        <f t="shared" si="8"/>
        <v>0110</v>
      </c>
      <c r="J29">
        <f t="shared" si="9"/>
        <v>3</v>
      </c>
      <c r="K29">
        <f t="shared" si="9"/>
        <v>6</v>
      </c>
      <c r="L29">
        <f>VLOOKUP(J29,S7_BOX,K29+2,FALSE)</f>
        <v>10</v>
      </c>
      <c r="M29" t="str">
        <f t="shared" si="10"/>
        <v>1010</v>
      </c>
    </row>
    <row r="30" spans="1:49">
      <c r="A30" t="s">
        <v>161</v>
      </c>
      <c r="B30">
        <f>AR21</f>
        <v>0</v>
      </c>
      <c r="C30">
        <f t="shared" ref="C30:G30" si="16">AS21</f>
        <v>1</v>
      </c>
      <c r="D30">
        <f t="shared" si="16"/>
        <v>0</v>
      </c>
      <c r="E30">
        <f t="shared" si="16"/>
        <v>0</v>
      </c>
      <c r="F30">
        <f t="shared" si="16"/>
        <v>0</v>
      </c>
      <c r="G30">
        <f t="shared" si="16"/>
        <v>1</v>
      </c>
      <c r="H30" t="str">
        <f t="shared" si="7"/>
        <v>01</v>
      </c>
      <c r="I30" t="str">
        <f t="shared" si="8"/>
        <v>1000</v>
      </c>
      <c r="J30">
        <f t="shared" si="9"/>
        <v>1</v>
      </c>
      <c r="K30">
        <f t="shared" si="9"/>
        <v>8</v>
      </c>
      <c r="L30">
        <f>VLOOKUP(J30,S8_BOX,K30+2,FALSE)</f>
        <v>12</v>
      </c>
      <c r="M30" t="str">
        <f t="shared" si="10"/>
        <v>1100</v>
      </c>
    </row>
    <row r="31" spans="1:49">
      <c r="A31" t="s">
        <v>162</v>
      </c>
      <c r="B31" t="str">
        <f>CONCATENATE(M23,M24,M25,M26,M27,M28,M29,M30)</f>
        <v>11011001101100101010001110101100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0</v>
      </c>
      <c r="E34" t="str">
        <f t="shared" si="17"/>
        <v>0</v>
      </c>
      <c r="F34" t="str">
        <f t="shared" si="17"/>
        <v>0</v>
      </c>
      <c r="G34" t="str">
        <f>CONCATENATE(C34,D34,E34,F34)</f>
        <v>0000</v>
      </c>
    </row>
    <row r="35" spans="1:33">
      <c r="B35">
        <v>2</v>
      </c>
      <c r="C35" t="str">
        <f t="shared" si="17"/>
        <v>1</v>
      </c>
      <c r="D35" t="str">
        <f t="shared" si="17"/>
        <v>1</v>
      </c>
      <c r="E35" t="str">
        <f t="shared" si="17"/>
        <v>0</v>
      </c>
      <c r="F35" t="str">
        <f t="shared" si="17"/>
        <v>1</v>
      </c>
      <c r="G35" t="str">
        <f t="shared" ref="G35:G41" si="18">CONCATENATE(C35,D35,E35,F35)</f>
        <v>1101</v>
      </c>
    </row>
    <row r="36" spans="1:33">
      <c r="B36">
        <v>3</v>
      </c>
      <c r="C36" t="str">
        <f t="shared" si="17"/>
        <v>1</v>
      </c>
      <c r="D36" t="str">
        <f t="shared" si="17"/>
        <v>1</v>
      </c>
      <c r="E36" t="str">
        <f t="shared" si="17"/>
        <v>1</v>
      </c>
      <c r="F36" t="str">
        <f t="shared" si="17"/>
        <v>0</v>
      </c>
      <c r="G36" t="str">
        <f t="shared" si="18"/>
        <v>1110</v>
      </c>
    </row>
    <row r="37" spans="1:33">
      <c r="B37">
        <v>4</v>
      </c>
      <c r="C37" t="str">
        <f t="shared" si="17"/>
        <v>1</v>
      </c>
      <c r="D37" t="str">
        <f t="shared" si="17"/>
        <v>0</v>
      </c>
      <c r="E37" t="str">
        <f t="shared" si="17"/>
        <v>0</v>
      </c>
      <c r="F37" t="str">
        <f t="shared" si="17"/>
        <v>0</v>
      </c>
      <c r="G37" t="str">
        <f t="shared" si="18"/>
        <v>1000</v>
      </c>
    </row>
    <row r="38" spans="1:33">
      <c r="B38">
        <v>5</v>
      </c>
      <c r="C38" t="str">
        <f t="shared" si="17"/>
        <v>1</v>
      </c>
      <c r="D38" t="str">
        <f t="shared" si="17"/>
        <v>1</v>
      </c>
      <c r="E38" t="str">
        <f t="shared" si="17"/>
        <v>1</v>
      </c>
      <c r="F38" t="str">
        <f t="shared" si="17"/>
        <v>0</v>
      </c>
      <c r="G38" t="str">
        <f t="shared" si="18"/>
        <v>1110</v>
      </c>
    </row>
    <row r="39" spans="1:33">
      <c r="B39">
        <v>6</v>
      </c>
      <c r="C39" t="str">
        <f t="shared" si="17"/>
        <v>0</v>
      </c>
      <c r="D39" t="str">
        <f t="shared" si="17"/>
        <v>1</v>
      </c>
      <c r="E39" t="str">
        <f t="shared" si="17"/>
        <v>0</v>
      </c>
      <c r="F39" t="str">
        <f t="shared" si="17"/>
        <v>1</v>
      </c>
      <c r="G39" t="str">
        <f t="shared" si="18"/>
        <v>0101</v>
      </c>
    </row>
    <row r="40" spans="1:33">
      <c r="B40">
        <v>7</v>
      </c>
      <c r="C40" t="str">
        <f t="shared" si="17"/>
        <v>1</v>
      </c>
      <c r="D40" t="str">
        <f t="shared" si="17"/>
        <v>0</v>
      </c>
      <c r="E40" t="str">
        <f t="shared" si="17"/>
        <v>1</v>
      </c>
      <c r="F40" t="str">
        <f t="shared" si="17"/>
        <v>0</v>
      </c>
      <c r="G40" t="str">
        <f t="shared" si="18"/>
        <v>1010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1</v>
      </c>
      <c r="F41" t="str">
        <f t="shared" si="17"/>
        <v>1</v>
      </c>
      <c r="G41" t="str">
        <f t="shared" si="18"/>
        <v>0111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00001101111010001110010110100111</v>
      </c>
    </row>
    <row r="44" spans="1:33">
      <c r="B44" t="str">
        <f>MID($B$43,B42,1)</f>
        <v>0</v>
      </c>
      <c r="C44" t="str">
        <f t="shared" ref="C44:AG44" si="19">MID($B$43,C42,1)</f>
        <v>0</v>
      </c>
      <c r="D44" t="str">
        <f t="shared" si="19"/>
        <v>0</v>
      </c>
      <c r="E44" t="str">
        <f t="shared" si="19"/>
        <v>0</v>
      </c>
      <c r="F44" t="str">
        <f t="shared" si="19"/>
        <v>1</v>
      </c>
      <c r="G44" t="str">
        <f t="shared" si="19"/>
        <v>1</v>
      </c>
      <c r="H44" t="str">
        <f t="shared" si="19"/>
        <v>0</v>
      </c>
      <c r="I44" t="str">
        <f t="shared" si="19"/>
        <v>1</v>
      </c>
      <c r="J44" t="str">
        <f t="shared" si="19"/>
        <v>1</v>
      </c>
      <c r="K44" t="str">
        <f t="shared" si="19"/>
        <v>1</v>
      </c>
      <c r="L44" t="str">
        <f t="shared" si="19"/>
        <v>1</v>
      </c>
      <c r="M44" t="str">
        <f t="shared" si="19"/>
        <v>0</v>
      </c>
      <c r="N44" t="str">
        <f t="shared" si="19"/>
        <v>1</v>
      </c>
      <c r="O44" t="str">
        <f t="shared" si="19"/>
        <v>0</v>
      </c>
      <c r="P44" t="str">
        <f t="shared" si="19"/>
        <v>0</v>
      </c>
      <c r="Q44" t="str">
        <f t="shared" si="19"/>
        <v>0</v>
      </c>
      <c r="R44" t="str">
        <f t="shared" si="19"/>
        <v>1</v>
      </c>
      <c r="S44" t="str">
        <f t="shared" si="19"/>
        <v>1</v>
      </c>
      <c r="T44" t="str">
        <f t="shared" si="19"/>
        <v>1</v>
      </c>
      <c r="U44" t="str">
        <f t="shared" si="19"/>
        <v>0</v>
      </c>
      <c r="V44" t="str">
        <f t="shared" si="19"/>
        <v>0</v>
      </c>
      <c r="W44" t="str">
        <f t="shared" si="19"/>
        <v>1</v>
      </c>
      <c r="X44" t="str">
        <f t="shared" si="19"/>
        <v>0</v>
      </c>
      <c r="Y44" t="str">
        <f t="shared" si="19"/>
        <v>1</v>
      </c>
      <c r="Z44" t="str">
        <f t="shared" si="19"/>
        <v>1</v>
      </c>
      <c r="AA44" t="str">
        <f t="shared" si="19"/>
        <v>0</v>
      </c>
      <c r="AB44" t="str">
        <f t="shared" si="19"/>
        <v>1</v>
      </c>
      <c r="AC44" t="str">
        <f t="shared" si="19"/>
        <v>0</v>
      </c>
      <c r="AD44" t="str">
        <f t="shared" si="19"/>
        <v>0</v>
      </c>
      <c r="AE44" t="str">
        <f t="shared" si="19"/>
        <v>1</v>
      </c>
      <c r="AF44" t="str">
        <f t="shared" si="19"/>
        <v>1</v>
      </c>
      <c r="AG44" t="str">
        <f t="shared" si="19"/>
        <v>1</v>
      </c>
    </row>
    <row r="45" spans="1:33">
      <c r="A45" t="str">
        <f>CONCATENATE("L",C4-1)</f>
        <v>L5</v>
      </c>
      <c r="B45" s="8" t="str">
        <f>'R5'!C6</f>
        <v>00100011011001110111100111000010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0</v>
      </c>
      <c r="F46" t="str">
        <f t="shared" si="20"/>
        <v>0</v>
      </c>
      <c r="G46" t="str">
        <f t="shared" si="20"/>
        <v>0</v>
      </c>
      <c r="H46" t="str">
        <f t="shared" si="20"/>
        <v>1</v>
      </c>
      <c r="I46" t="str">
        <f t="shared" si="20"/>
        <v>1</v>
      </c>
      <c r="J46" t="str">
        <f t="shared" si="20"/>
        <v>0</v>
      </c>
      <c r="K46" t="str">
        <f t="shared" si="20"/>
        <v>1</v>
      </c>
      <c r="L46" t="str">
        <f t="shared" si="20"/>
        <v>1</v>
      </c>
      <c r="M46" t="str">
        <f t="shared" si="20"/>
        <v>0</v>
      </c>
      <c r="N46" t="str">
        <f t="shared" si="20"/>
        <v>0</v>
      </c>
      <c r="O46" t="str">
        <f t="shared" si="20"/>
        <v>1</v>
      </c>
      <c r="P46" t="str">
        <f t="shared" si="20"/>
        <v>1</v>
      </c>
      <c r="Q46" t="str">
        <f t="shared" si="20"/>
        <v>1</v>
      </c>
      <c r="R46" t="str">
        <f t="shared" si="20"/>
        <v>0</v>
      </c>
      <c r="S46" t="str">
        <f t="shared" si="20"/>
        <v>1</v>
      </c>
      <c r="T46" t="str">
        <f t="shared" si="20"/>
        <v>1</v>
      </c>
      <c r="U46" t="str">
        <f t="shared" si="20"/>
        <v>1</v>
      </c>
      <c r="V46" t="str">
        <f t="shared" si="20"/>
        <v>1</v>
      </c>
      <c r="W46" t="str">
        <f t="shared" si="20"/>
        <v>0</v>
      </c>
      <c r="X46" t="str">
        <f t="shared" si="20"/>
        <v>0</v>
      </c>
      <c r="Y46" t="str">
        <f t="shared" si="20"/>
        <v>1</v>
      </c>
      <c r="Z46" t="str">
        <f t="shared" si="20"/>
        <v>1</v>
      </c>
      <c r="AA46" t="str">
        <f t="shared" si="20"/>
        <v>1</v>
      </c>
      <c r="AB46" t="str">
        <f t="shared" si="20"/>
        <v>0</v>
      </c>
      <c r="AC46" t="str">
        <f t="shared" si="20"/>
        <v>0</v>
      </c>
      <c r="AD46" t="str">
        <f t="shared" si="20"/>
        <v>0</v>
      </c>
      <c r="AE46" t="str">
        <f t="shared" si="20"/>
        <v>0</v>
      </c>
      <c r="AF46" t="str">
        <f t="shared" si="20"/>
        <v>1</v>
      </c>
      <c r="AG46" t="str">
        <f t="shared" si="20"/>
        <v>0</v>
      </c>
    </row>
    <row r="47" spans="1:33">
      <c r="A47" t="str">
        <f>CONCATENATE("R",C4)</f>
        <v>R6</v>
      </c>
      <c r="B47">
        <f>IF(B44=B46,0,1)</f>
        <v>0</v>
      </c>
      <c r="C47">
        <f t="shared" ref="C47:AG47" si="21">IF(C44=C46,0,1)</f>
        <v>0</v>
      </c>
      <c r="D47">
        <f t="shared" si="21"/>
        <v>1</v>
      </c>
      <c r="E47">
        <f t="shared" si="21"/>
        <v>0</v>
      </c>
      <c r="F47">
        <f t="shared" si="21"/>
        <v>1</v>
      </c>
      <c r="G47">
        <f t="shared" si="21"/>
        <v>1</v>
      </c>
      <c r="H47">
        <f t="shared" si="21"/>
        <v>1</v>
      </c>
      <c r="I47">
        <f t="shared" si="21"/>
        <v>0</v>
      </c>
      <c r="J47">
        <f t="shared" si="21"/>
        <v>1</v>
      </c>
      <c r="K47">
        <f t="shared" si="21"/>
        <v>0</v>
      </c>
      <c r="L47">
        <f t="shared" si="21"/>
        <v>0</v>
      </c>
      <c r="M47">
        <f t="shared" si="21"/>
        <v>0</v>
      </c>
      <c r="N47">
        <f t="shared" si="21"/>
        <v>1</v>
      </c>
      <c r="O47">
        <f t="shared" si="21"/>
        <v>1</v>
      </c>
      <c r="P47">
        <f t="shared" si="21"/>
        <v>1</v>
      </c>
      <c r="Q47">
        <f t="shared" si="21"/>
        <v>1</v>
      </c>
      <c r="R47">
        <f t="shared" si="21"/>
        <v>1</v>
      </c>
      <c r="S47">
        <f t="shared" si="21"/>
        <v>0</v>
      </c>
      <c r="T47">
        <f t="shared" si="21"/>
        <v>0</v>
      </c>
      <c r="U47">
        <f t="shared" si="21"/>
        <v>1</v>
      </c>
      <c r="V47">
        <f t="shared" si="21"/>
        <v>1</v>
      </c>
      <c r="W47">
        <f t="shared" si="21"/>
        <v>1</v>
      </c>
      <c r="X47">
        <f t="shared" si="21"/>
        <v>0</v>
      </c>
      <c r="Y47">
        <f t="shared" si="21"/>
        <v>0</v>
      </c>
      <c r="Z47">
        <f t="shared" si="21"/>
        <v>0</v>
      </c>
      <c r="AA47">
        <f t="shared" si="21"/>
        <v>1</v>
      </c>
      <c r="AB47">
        <f t="shared" si="21"/>
        <v>1</v>
      </c>
      <c r="AC47">
        <f t="shared" si="21"/>
        <v>0</v>
      </c>
      <c r="AD47">
        <f t="shared" si="21"/>
        <v>0</v>
      </c>
      <c r="AE47">
        <f t="shared" si="21"/>
        <v>1</v>
      </c>
      <c r="AF47">
        <f t="shared" si="21"/>
        <v>0</v>
      </c>
      <c r="AG47">
        <f t="shared" si="21"/>
        <v>1</v>
      </c>
    </row>
    <row r="48" spans="1:33">
      <c r="B48" t="str">
        <f>CONCATENATE(B47,C47,D47,E47)</f>
        <v>0010</v>
      </c>
      <c r="F48" t="str">
        <f>CONCATENATE(F47,G47,H47,I47)</f>
        <v>1110</v>
      </c>
      <c r="J48" t="str">
        <f>CONCATENATE(J47,K47,L47,M47)</f>
        <v>1000</v>
      </c>
      <c r="N48" t="str">
        <f>CONCATENATE(N47,O47,P47,Q47)</f>
        <v>1111</v>
      </c>
      <c r="R48" t="str">
        <f>CONCATENATE(R47,S47,T47,U47)</f>
        <v>1001</v>
      </c>
      <c r="V48" t="str">
        <f>CONCATENATE(V47,W47,X47,Y47)</f>
        <v>1100</v>
      </c>
      <c r="Z48" t="str">
        <f>CONCATENATE(Z47,AA47,AB47,AC47)</f>
        <v>0110</v>
      </c>
      <c r="AD48" t="str">
        <f>CONCATENATE(AD47,AE47,AF47,AG47)</f>
        <v>0101</v>
      </c>
    </row>
    <row r="49" spans="1:2">
      <c r="A49" t="str">
        <f>A47</f>
        <v>R6</v>
      </c>
      <c r="B49" t="str">
        <f>CONCATENATE(B48,F48,J48,N48,R48,V48,Z48,AD48)</f>
        <v>00101110100011111001110001100101</v>
      </c>
    </row>
    <row r="50" spans="1:2">
      <c r="A50" t="str">
        <f>CONCATENATE(A49," hex")</f>
        <v>R6 hex</v>
      </c>
      <c r="B50" t="str">
        <f>CONCATENATE(BIN2HEX(B48),BIN2HEX(F48),BIN2HEX(J48),BIN2HEX(N48),BIN2HEX(R48),BIN2HEX(V48),BIN2HEX(Z48),BIN2HEX(AD48))</f>
        <v>2E8F9C65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50"/>
  <sheetViews>
    <sheetView topLeftCell="A37" workbookViewId="0">
      <selection activeCell="A37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7</v>
      </c>
    </row>
    <row r="5" spans="1:13">
      <c r="A5" t="str">
        <f>CONCATENATE("K",C4)</f>
        <v>K7</v>
      </c>
      <c r="C5" s="8" t="str">
        <f>Kn!O8</f>
        <v>011100001000101011010010110111011011001111000000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L7   =</v>
      </c>
      <c r="B6" t="str">
        <f>CONCATENATE("R",(C4-1))</f>
        <v>R6</v>
      </c>
      <c r="C6" s="8" t="str">
        <f>'R6'!B49</f>
        <v>00101110100011111001110001100101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E(R6)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0</v>
      </c>
      <c r="E8" s="1" t="str">
        <f t="shared" si="0"/>
        <v>0</v>
      </c>
      <c r="F8" s="1" t="str">
        <f t="shared" si="0"/>
        <v>1</v>
      </c>
      <c r="G8" s="1" t="str">
        <f t="shared" si="0"/>
        <v>0</v>
      </c>
      <c r="H8" s="1" t="str">
        <f t="shared" si="0"/>
        <v>1</v>
      </c>
      <c r="I8" s="6" t="str">
        <f>CONCATENATE(C8,D8,E8,F8,G8,H8)</f>
        <v>100101</v>
      </c>
    </row>
    <row r="9" spans="1:13">
      <c r="B9">
        <v>2</v>
      </c>
      <c r="C9" s="1" t="str">
        <f t="shared" si="0"/>
        <v>0</v>
      </c>
      <c r="D9" s="1" t="str">
        <f t="shared" si="0"/>
        <v>1</v>
      </c>
      <c r="E9" s="1" t="str">
        <f t="shared" si="0"/>
        <v>1</v>
      </c>
      <c r="F9" s="1" t="str">
        <f t="shared" si="0"/>
        <v>1</v>
      </c>
      <c r="G9" s="1" t="str">
        <f t="shared" si="0"/>
        <v>0</v>
      </c>
      <c r="H9" s="1" t="str">
        <f t="shared" si="0"/>
        <v>1</v>
      </c>
      <c r="I9" s="6" t="str">
        <f t="shared" ref="I9:I15" si="1">CONCATENATE(C9,D9,E9,F9,G9,H9)</f>
        <v>011101</v>
      </c>
    </row>
    <row r="10" spans="1:13">
      <c r="B10">
        <v>3</v>
      </c>
      <c r="C10" s="1" t="str">
        <f t="shared" si="0"/>
        <v>0</v>
      </c>
      <c r="D10" s="1" t="str">
        <f t="shared" si="0"/>
        <v>1</v>
      </c>
      <c r="E10" s="1" t="str">
        <f t="shared" si="0"/>
        <v>0</v>
      </c>
      <c r="F10" s="1" t="str">
        <f t="shared" si="0"/>
        <v>0</v>
      </c>
      <c r="G10" s="1" t="str">
        <f t="shared" si="0"/>
        <v>0</v>
      </c>
      <c r="H10" s="1" t="str">
        <f t="shared" si="0"/>
        <v>1</v>
      </c>
      <c r="I10" s="6" t="str">
        <f t="shared" si="1"/>
        <v>010001</v>
      </c>
    </row>
    <row r="11" spans="1:13">
      <c r="B11">
        <v>4</v>
      </c>
      <c r="C11" s="1" t="str">
        <f t="shared" si="0"/>
        <v>0</v>
      </c>
      <c r="D11" s="1" t="str">
        <f t="shared" si="0"/>
        <v>1</v>
      </c>
      <c r="E11" s="1" t="str">
        <f t="shared" si="0"/>
        <v>1</v>
      </c>
      <c r="F11" s="1" t="str">
        <f t="shared" si="0"/>
        <v>1</v>
      </c>
      <c r="G11" s="1" t="str">
        <f t="shared" si="0"/>
        <v>1</v>
      </c>
      <c r="H11" s="1" t="str">
        <f t="shared" si="0"/>
        <v>1</v>
      </c>
      <c r="I11" s="6" t="str">
        <f t="shared" si="1"/>
        <v>011111</v>
      </c>
    </row>
    <row r="12" spans="1:13">
      <c r="B12">
        <v>5</v>
      </c>
      <c r="C12" s="1" t="str">
        <f t="shared" si="0"/>
        <v>1</v>
      </c>
      <c r="D12" s="1" t="str">
        <f t="shared" si="0"/>
        <v>1</v>
      </c>
      <c r="E12" s="1" t="str">
        <f t="shared" si="0"/>
        <v>0</v>
      </c>
      <c r="F12" s="1" t="str">
        <f t="shared" si="0"/>
        <v>0</v>
      </c>
      <c r="G12" s="1" t="str">
        <f t="shared" si="0"/>
        <v>1</v>
      </c>
      <c r="H12" s="1" t="str">
        <f t="shared" si="0"/>
        <v>1</v>
      </c>
      <c r="I12" s="6" t="str">
        <f t="shared" si="1"/>
        <v>110011</v>
      </c>
    </row>
    <row r="13" spans="1:13">
      <c r="B13">
        <v>6</v>
      </c>
      <c r="C13" s="1" t="str">
        <f t="shared" si="0"/>
        <v>1</v>
      </c>
      <c r="D13" s="1" t="str">
        <f t="shared" si="0"/>
        <v>1</v>
      </c>
      <c r="E13" s="1" t="str">
        <f t="shared" si="0"/>
        <v>1</v>
      </c>
      <c r="F13" s="1" t="str">
        <f t="shared" si="0"/>
        <v>0</v>
      </c>
      <c r="G13" s="1" t="str">
        <f t="shared" si="0"/>
        <v>0</v>
      </c>
      <c r="H13" s="1" t="str">
        <f t="shared" si="0"/>
        <v>0</v>
      </c>
      <c r="I13" s="6" t="str">
        <f t="shared" si="1"/>
        <v>111000</v>
      </c>
    </row>
    <row r="14" spans="1:13">
      <c r="B14">
        <v>7</v>
      </c>
      <c r="C14" s="1" t="str">
        <f t="shared" si="0"/>
        <v>0</v>
      </c>
      <c r="D14" s="1" t="str">
        <f t="shared" si="0"/>
        <v>0</v>
      </c>
      <c r="E14" s="1" t="str">
        <f t="shared" si="0"/>
        <v>1</v>
      </c>
      <c r="F14" s="1" t="str">
        <f t="shared" si="0"/>
        <v>1</v>
      </c>
      <c r="G14" s="1" t="str">
        <f t="shared" si="0"/>
        <v>0</v>
      </c>
      <c r="H14" s="1" t="str">
        <f t="shared" si="0"/>
        <v>0</v>
      </c>
      <c r="I14" s="6" t="str">
        <f t="shared" si="1"/>
        <v>001100</v>
      </c>
    </row>
    <row r="15" spans="1:13">
      <c r="B15">
        <v>8</v>
      </c>
      <c r="C15" s="1" t="str">
        <f t="shared" si="0"/>
        <v>0</v>
      </c>
      <c r="D15" s="1" t="str">
        <f t="shared" si="0"/>
        <v>0</v>
      </c>
      <c r="E15" s="1" t="str">
        <f t="shared" si="0"/>
        <v>1</v>
      </c>
      <c r="F15" s="1" t="str">
        <f t="shared" si="0"/>
        <v>0</v>
      </c>
      <c r="G15" s="1" t="str">
        <f t="shared" si="0"/>
        <v>1</v>
      </c>
      <c r="H15" s="1" t="str">
        <f t="shared" si="0"/>
        <v>0</v>
      </c>
      <c r="I15" s="6" t="str">
        <f t="shared" si="1"/>
        <v>001010</v>
      </c>
    </row>
    <row r="16" spans="1:13">
      <c r="A16" t="str">
        <f>A8</f>
        <v>E(R6)</v>
      </c>
      <c r="B16" t="str">
        <f>CONCATENATE(I8,I9,I10,I11,I12,I13,I14,I15)</f>
        <v>100101011101010001011111110011111000001100001010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K7</v>
      </c>
      <c r="B19" t="str">
        <f>MID($C$5,B18,1)</f>
        <v>0</v>
      </c>
      <c r="C19" t="str">
        <f t="shared" ref="C19:AW19" si="2">MID($C$5,C18,1)</f>
        <v>1</v>
      </c>
      <c r="D19" t="str">
        <f t="shared" si="2"/>
        <v>1</v>
      </c>
      <c r="E19" t="str">
        <f t="shared" si="2"/>
        <v>1</v>
      </c>
      <c r="F19" t="str">
        <f t="shared" si="2"/>
        <v>0</v>
      </c>
      <c r="G19" t="str">
        <f t="shared" si="2"/>
        <v>0</v>
      </c>
      <c r="H19" t="str">
        <f t="shared" si="2"/>
        <v>0</v>
      </c>
      <c r="I19" t="str">
        <f t="shared" si="2"/>
        <v>0</v>
      </c>
      <c r="J19" t="str">
        <f t="shared" si="2"/>
        <v>1</v>
      </c>
      <c r="K19" t="str">
        <f t="shared" si="2"/>
        <v>0</v>
      </c>
      <c r="L19" t="str">
        <f t="shared" si="2"/>
        <v>0</v>
      </c>
      <c r="M19" t="str">
        <f t="shared" si="2"/>
        <v>0</v>
      </c>
      <c r="N19" t="str">
        <f t="shared" si="2"/>
        <v>1</v>
      </c>
      <c r="O19" t="str">
        <f t="shared" si="2"/>
        <v>0</v>
      </c>
      <c r="P19" t="str">
        <f t="shared" si="2"/>
        <v>1</v>
      </c>
      <c r="Q19" t="str">
        <f t="shared" si="2"/>
        <v>0</v>
      </c>
      <c r="R19" t="str">
        <f t="shared" si="2"/>
        <v>1</v>
      </c>
      <c r="S19" t="str">
        <f t="shared" si="2"/>
        <v>1</v>
      </c>
      <c r="T19" t="str">
        <f t="shared" si="2"/>
        <v>0</v>
      </c>
      <c r="U19" t="str">
        <f t="shared" si="2"/>
        <v>1</v>
      </c>
      <c r="V19" t="str">
        <f t="shared" si="2"/>
        <v>0</v>
      </c>
      <c r="W19" t="str">
        <f t="shared" si="2"/>
        <v>0</v>
      </c>
      <c r="X19" t="str">
        <f t="shared" si="2"/>
        <v>1</v>
      </c>
      <c r="Y19" t="str">
        <f t="shared" si="2"/>
        <v>0</v>
      </c>
      <c r="Z19" t="str">
        <f t="shared" si="2"/>
        <v>1</v>
      </c>
      <c r="AA19" t="str">
        <f t="shared" si="2"/>
        <v>1</v>
      </c>
      <c r="AB19" t="str">
        <f t="shared" si="2"/>
        <v>0</v>
      </c>
      <c r="AC19" t="str">
        <f t="shared" si="2"/>
        <v>1</v>
      </c>
      <c r="AD19" t="str">
        <f t="shared" si="2"/>
        <v>1</v>
      </c>
      <c r="AE19" t="str">
        <f t="shared" si="2"/>
        <v>1</v>
      </c>
      <c r="AF19" t="str">
        <f t="shared" si="2"/>
        <v>0</v>
      </c>
      <c r="AG19" t="str">
        <f t="shared" si="2"/>
        <v>1</v>
      </c>
      <c r="AH19" t="str">
        <f t="shared" si="2"/>
        <v>1</v>
      </c>
      <c r="AI19" t="str">
        <f t="shared" si="2"/>
        <v>0</v>
      </c>
      <c r="AJ19" t="str">
        <f t="shared" si="2"/>
        <v>1</v>
      </c>
      <c r="AK19" t="str">
        <f t="shared" si="2"/>
        <v>1</v>
      </c>
      <c r="AL19" t="str">
        <f t="shared" si="2"/>
        <v>0</v>
      </c>
      <c r="AM19" t="str">
        <f t="shared" si="2"/>
        <v>0</v>
      </c>
      <c r="AN19" t="str">
        <f t="shared" si="2"/>
        <v>1</v>
      </c>
      <c r="AO19" t="str">
        <f t="shared" si="2"/>
        <v>1</v>
      </c>
      <c r="AP19" t="str">
        <f t="shared" si="2"/>
        <v>1</v>
      </c>
      <c r="AQ19" t="str">
        <f t="shared" si="2"/>
        <v>1</v>
      </c>
      <c r="AR19" t="str">
        <f t="shared" si="2"/>
        <v>0</v>
      </c>
      <c r="AS19" t="str">
        <f t="shared" si="2"/>
        <v>0</v>
      </c>
      <c r="AT19" t="str">
        <f t="shared" si="2"/>
        <v>0</v>
      </c>
      <c r="AU19" t="str">
        <f t="shared" si="2"/>
        <v>0</v>
      </c>
      <c r="AV19" t="str">
        <f t="shared" si="2"/>
        <v>0</v>
      </c>
      <c r="AW19" t="str">
        <f t="shared" si="2"/>
        <v>0</v>
      </c>
    </row>
    <row r="20" spans="1:49">
      <c r="A20" t="str">
        <f>A16</f>
        <v>E(R6)</v>
      </c>
      <c r="B20" t="str">
        <f>MID($B$16,B18,1)</f>
        <v>1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1</v>
      </c>
      <c r="F20" t="str">
        <f t="shared" si="3"/>
        <v>0</v>
      </c>
      <c r="G20" t="str">
        <f t="shared" si="3"/>
        <v>1</v>
      </c>
      <c r="H20" t="str">
        <f t="shared" si="3"/>
        <v>0</v>
      </c>
      <c r="I20" t="str">
        <f t="shared" si="3"/>
        <v>1</v>
      </c>
      <c r="J20" t="str">
        <f t="shared" si="3"/>
        <v>1</v>
      </c>
      <c r="K20" t="str">
        <f t="shared" si="3"/>
        <v>1</v>
      </c>
      <c r="L20" t="str">
        <f t="shared" si="3"/>
        <v>0</v>
      </c>
      <c r="M20" t="str">
        <f t="shared" si="3"/>
        <v>1</v>
      </c>
      <c r="N20" t="str">
        <f t="shared" si="3"/>
        <v>0</v>
      </c>
      <c r="O20" t="str">
        <f t="shared" si="3"/>
        <v>1</v>
      </c>
      <c r="P20" t="str">
        <f t="shared" si="3"/>
        <v>0</v>
      </c>
      <c r="Q20" t="str">
        <f t="shared" si="3"/>
        <v>0</v>
      </c>
      <c r="R20" t="str">
        <f t="shared" si="3"/>
        <v>0</v>
      </c>
      <c r="S20" t="str">
        <f t="shared" si="3"/>
        <v>1</v>
      </c>
      <c r="T20" t="str">
        <f t="shared" si="3"/>
        <v>0</v>
      </c>
      <c r="U20" t="str">
        <f t="shared" si="3"/>
        <v>1</v>
      </c>
      <c r="V20" t="str">
        <f t="shared" si="3"/>
        <v>1</v>
      </c>
      <c r="W20" t="str">
        <f t="shared" si="3"/>
        <v>1</v>
      </c>
      <c r="X20" t="str">
        <f t="shared" si="3"/>
        <v>1</v>
      </c>
      <c r="Y20" t="str">
        <f t="shared" si="3"/>
        <v>1</v>
      </c>
      <c r="Z20" t="str">
        <f t="shared" si="3"/>
        <v>1</v>
      </c>
      <c r="AA20" t="str">
        <f t="shared" si="3"/>
        <v>1</v>
      </c>
      <c r="AB20" t="str">
        <f t="shared" si="3"/>
        <v>0</v>
      </c>
      <c r="AC20" t="str">
        <f t="shared" si="3"/>
        <v>0</v>
      </c>
      <c r="AD20" t="str">
        <f t="shared" si="3"/>
        <v>1</v>
      </c>
      <c r="AE20" t="str">
        <f t="shared" si="3"/>
        <v>1</v>
      </c>
      <c r="AF20" t="str">
        <f t="shared" si="3"/>
        <v>1</v>
      </c>
      <c r="AG20" t="str">
        <f t="shared" si="3"/>
        <v>1</v>
      </c>
      <c r="AH20" t="str">
        <f t="shared" si="3"/>
        <v>1</v>
      </c>
      <c r="AI20" t="str">
        <f t="shared" si="3"/>
        <v>0</v>
      </c>
      <c r="AJ20" t="str">
        <f t="shared" si="3"/>
        <v>0</v>
      </c>
      <c r="AK20" t="str">
        <f t="shared" si="3"/>
        <v>0</v>
      </c>
      <c r="AL20" t="str">
        <f t="shared" si="3"/>
        <v>0</v>
      </c>
      <c r="AM20" t="str">
        <f t="shared" si="3"/>
        <v>0</v>
      </c>
      <c r="AN20" t="str">
        <f t="shared" si="3"/>
        <v>1</v>
      </c>
      <c r="AO20" t="str">
        <f t="shared" si="3"/>
        <v>1</v>
      </c>
      <c r="AP20" t="str">
        <f t="shared" si="3"/>
        <v>0</v>
      </c>
      <c r="AQ20" t="str">
        <f t="shared" si="3"/>
        <v>0</v>
      </c>
      <c r="AR20" t="str">
        <f t="shared" si="3"/>
        <v>0</v>
      </c>
      <c r="AS20" t="str">
        <f t="shared" si="3"/>
        <v>0</v>
      </c>
      <c r="AT20" t="str">
        <f t="shared" si="3"/>
        <v>1</v>
      </c>
      <c r="AU20" t="str">
        <f t="shared" si="3"/>
        <v>0</v>
      </c>
      <c r="AV20" t="str">
        <f t="shared" si="3"/>
        <v>1</v>
      </c>
      <c r="AW20" t="str">
        <f t="shared" si="3"/>
        <v>0</v>
      </c>
    </row>
    <row r="21" spans="1:49">
      <c r="A21" s="6" t="str">
        <f>CONCATENATE(A19," + ",A20)</f>
        <v>K7 + E(R6)</v>
      </c>
      <c r="B21" s="1">
        <f>IF(B19=B20,0,1)</f>
        <v>1</v>
      </c>
      <c r="C21" s="1">
        <f t="shared" ref="C21:AW21" si="4">IF(C19=C20,0,1)</f>
        <v>1</v>
      </c>
      <c r="D21" s="1">
        <f t="shared" si="4"/>
        <v>1</v>
      </c>
      <c r="E21" s="1">
        <f t="shared" si="4"/>
        <v>0</v>
      </c>
      <c r="F21" s="1">
        <f t="shared" si="4"/>
        <v>0</v>
      </c>
      <c r="G21" s="1">
        <f t="shared" si="4"/>
        <v>1</v>
      </c>
      <c r="H21" s="1">
        <f t="shared" si="4"/>
        <v>0</v>
      </c>
      <c r="I21" s="1">
        <f t="shared" si="4"/>
        <v>1</v>
      </c>
      <c r="J21" s="1">
        <f t="shared" si="4"/>
        <v>0</v>
      </c>
      <c r="K21" s="1">
        <f t="shared" si="4"/>
        <v>1</v>
      </c>
      <c r="L21" s="1">
        <f t="shared" si="4"/>
        <v>0</v>
      </c>
      <c r="M21" s="1">
        <f t="shared" si="4"/>
        <v>1</v>
      </c>
      <c r="N21" s="1">
        <f t="shared" si="4"/>
        <v>1</v>
      </c>
      <c r="O21" s="1">
        <f t="shared" si="4"/>
        <v>1</v>
      </c>
      <c r="P21" s="1">
        <f t="shared" si="4"/>
        <v>1</v>
      </c>
      <c r="Q21" s="1">
        <f t="shared" si="4"/>
        <v>0</v>
      </c>
      <c r="R21" s="1">
        <f t="shared" si="4"/>
        <v>1</v>
      </c>
      <c r="S21" s="1">
        <f t="shared" si="4"/>
        <v>0</v>
      </c>
      <c r="T21" s="1">
        <f t="shared" si="4"/>
        <v>0</v>
      </c>
      <c r="U21" s="1">
        <f t="shared" si="4"/>
        <v>0</v>
      </c>
      <c r="V21" s="1">
        <f t="shared" si="4"/>
        <v>1</v>
      </c>
      <c r="W21" s="1">
        <f t="shared" si="4"/>
        <v>1</v>
      </c>
      <c r="X21" s="1">
        <f t="shared" si="4"/>
        <v>0</v>
      </c>
      <c r="Y21" s="1">
        <f t="shared" si="4"/>
        <v>1</v>
      </c>
      <c r="Z21" s="1">
        <f t="shared" si="4"/>
        <v>0</v>
      </c>
      <c r="AA21" s="1">
        <f t="shared" si="4"/>
        <v>0</v>
      </c>
      <c r="AB21" s="1">
        <f t="shared" si="4"/>
        <v>0</v>
      </c>
      <c r="AC21" s="1">
        <f t="shared" si="4"/>
        <v>1</v>
      </c>
      <c r="AD21" s="1">
        <f t="shared" si="4"/>
        <v>0</v>
      </c>
      <c r="AE21" s="1">
        <f t="shared" si="4"/>
        <v>0</v>
      </c>
      <c r="AF21" s="1">
        <f t="shared" si="4"/>
        <v>1</v>
      </c>
      <c r="AG21" s="1">
        <f t="shared" si="4"/>
        <v>0</v>
      </c>
      <c r="AH21" s="1">
        <f t="shared" si="4"/>
        <v>0</v>
      </c>
      <c r="AI21" s="1">
        <f t="shared" si="4"/>
        <v>0</v>
      </c>
      <c r="AJ21" s="1">
        <f t="shared" si="4"/>
        <v>1</v>
      </c>
      <c r="AK21" s="1">
        <f t="shared" si="4"/>
        <v>1</v>
      </c>
      <c r="AL21" s="1">
        <f t="shared" si="4"/>
        <v>0</v>
      </c>
      <c r="AM21" s="1">
        <f t="shared" si="4"/>
        <v>0</v>
      </c>
      <c r="AN21" s="1">
        <f t="shared" si="4"/>
        <v>0</v>
      </c>
      <c r="AO21" s="1">
        <f t="shared" si="4"/>
        <v>0</v>
      </c>
      <c r="AP21" s="1">
        <f t="shared" si="4"/>
        <v>1</v>
      </c>
      <c r="AQ21" s="1">
        <f t="shared" si="4"/>
        <v>1</v>
      </c>
      <c r="AR21" s="1">
        <f t="shared" si="4"/>
        <v>0</v>
      </c>
      <c r="AS21" s="1">
        <f t="shared" si="4"/>
        <v>0</v>
      </c>
      <c r="AT21" s="1">
        <f t="shared" si="4"/>
        <v>1</v>
      </c>
      <c r="AU21" s="1">
        <f t="shared" si="4"/>
        <v>0</v>
      </c>
      <c r="AV21" s="1">
        <f t="shared" si="4"/>
        <v>1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1</v>
      </c>
      <c r="C23">
        <f t="shared" ref="C23:G23" si="5">C21</f>
        <v>1</v>
      </c>
      <c r="D23">
        <f t="shared" si="5"/>
        <v>1</v>
      </c>
      <c r="E23">
        <f t="shared" si="5"/>
        <v>0</v>
      </c>
      <c r="F23">
        <f t="shared" si="5"/>
        <v>0</v>
      </c>
      <c r="G23">
        <f t="shared" si="5"/>
        <v>1</v>
      </c>
      <c r="H23" t="str">
        <f>CONCATENATE(B23,G23)</f>
        <v>11</v>
      </c>
      <c r="I23" t="str">
        <f>CONCATENATE(C23,D23,E23,F23)</f>
        <v>1100</v>
      </c>
      <c r="J23">
        <f>BIN2DEC(H23)</f>
        <v>3</v>
      </c>
      <c r="K23">
        <f>BIN2DEC(I23)</f>
        <v>12</v>
      </c>
      <c r="L23">
        <f>VLOOKUP(J23,S1_BOX,K23+2,FALSE)</f>
        <v>10</v>
      </c>
      <c r="M23" t="str">
        <f>DEC2BIN(L23,4)</f>
        <v>1010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0</v>
      </c>
      <c r="E24">
        <f t="shared" si="6"/>
        <v>1</v>
      </c>
      <c r="F24">
        <f t="shared" si="6"/>
        <v>0</v>
      </c>
      <c r="G24">
        <f t="shared" si="6"/>
        <v>1</v>
      </c>
      <c r="H24" t="str">
        <f t="shared" ref="H24:H30" si="7">CONCATENATE(B24,G24)</f>
        <v>01</v>
      </c>
      <c r="I24" t="str">
        <f t="shared" ref="I24:I30" si="8">CONCATENATE(C24,D24,E24,F24)</f>
        <v>1010</v>
      </c>
      <c r="J24">
        <f t="shared" ref="J24:K30" si="9">BIN2DEC(H24)</f>
        <v>1</v>
      </c>
      <c r="K24">
        <f t="shared" si="9"/>
        <v>10</v>
      </c>
      <c r="L24">
        <f>VLOOKUP(J24,S2_BOX,K24+2,FALSE)</f>
        <v>1</v>
      </c>
      <c r="M24" t="str">
        <f t="shared" ref="M24:M30" si="10">DEC2BIN(L24,4)</f>
        <v>0001</v>
      </c>
    </row>
    <row r="25" spans="1:49">
      <c r="A25" t="s">
        <v>156</v>
      </c>
      <c r="B25">
        <f>N21</f>
        <v>1</v>
      </c>
      <c r="C25">
        <f t="shared" ref="C25:G25" si="11">O21</f>
        <v>1</v>
      </c>
      <c r="D25">
        <f t="shared" si="11"/>
        <v>1</v>
      </c>
      <c r="E25">
        <f t="shared" si="11"/>
        <v>0</v>
      </c>
      <c r="F25">
        <f t="shared" si="11"/>
        <v>1</v>
      </c>
      <c r="G25">
        <f t="shared" si="11"/>
        <v>0</v>
      </c>
      <c r="H25" t="str">
        <f t="shared" si="7"/>
        <v>10</v>
      </c>
      <c r="I25" t="str">
        <f t="shared" si="8"/>
        <v>1101</v>
      </c>
      <c r="J25">
        <f t="shared" si="9"/>
        <v>2</v>
      </c>
      <c r="K25">
        <f t="shared" si="9"/>
        <v>13</v>
      </c>
      <c r="L25">
        <f>VLOOKUP(J25,S3_BOX,K25+2,FALSE)</f>
        <v>10</v>
      </c>
      <c r="M25" t="str">
        <f t="shared" si="10"/>
        <v>1010</v>
      </c>
    </row>
    <row r="26" spans="1:49">
      <c r="A26" t="s">
        <v>157</v>
      </c>
      <c r="B26">
        <f>T21</f>
        <v>0</v>
      </c>
      <c r="C26">
        <f t="shared" ref="C26:G26" si="12">U21</f>
        <v>0</v>
      </c>
      <c r="D26">
        <f t="shared" si="12"/>
        <v>1</v>
      </c>
      <c r="E26">
        <f t="shared" si="12"/>
        <v>1</v>
      </c>
      <c r="F26">
        <f t="shared" si="12"/>
        <v>0</v>
      </c>
      <c r="G26">
        <f t="shared" si="12"/>
        <v>1</v>
      </c>
      <c r="H26" t="str">
        <f t="shared" si="7"/>
        <v>01</v>
      </c>
      <c r="I26" t="str">
        <f t="shared" si="8"/>
        <v>0110</v>
      </c>
      <c r="J26">
        <f t="shared" si="9"/>
        <v>1</v>
      </c>
      <c r="K26">
        <f t="shared" si="9"/>
        <v>6</v>
      </c>
      <c r="L26">
        <f>VLOOKUP(J26,S4_BOX,K26+2,FALSE)</f>
        <v>0</v>
      </c>
      <c r="M26" t="str">
        <f t="shared" si="10"/>
        <v>0000</v>
      </c>
    </row>
    <row r="27" spans="1:49">
      <c r="A27" t="s">
        <v>158</v>
      </c>
      <c r="B27">
        <f>Z21</f>
        <v>0</v>
      </c>
      <c r="C27">
        <f t="shared" ref="C27:G27" si="13">AA21</f>
        <v>0</v>
      </c>
      <c r="D27">
        <f t="shared" si="13"/>
        <v>0</v>
      </c>
      <c r="E27">
        <f t="shared" si="13"/>
        <v>1</v>
      </c>
      <c r="F27">
        <f t="shared" si="13"/>
        <v>0</v>
      </c>
      <c r="G27">
        <f t="shared" si="13"/>
        <v>0</v>
      </c>
      <c r="H27" t="str">
        <f t="shared" si="7"/>
        <v>00</v>
      </c>
      <c r="I27" t="str">
        <f t="shared" si="8"/>
        <v>0010</v>
      </c>
      <c r="J27">
        <f t="shared" si="9"/>
        <v>0</v>
      </c>
      <c r="K27">
        <f t="shared" si="9"/>
        <v>2</v>
      </c>
      <c r="L27">
        <f>VLOOKUP(J27,S5_BOX,K27+2,FALSE)</f>
        <v>4</v>
      </c>
      <c r="M27" t="str">
        <f t="shared" si="10"/>
        <v>0100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0</v>
      </c>
      <c r="E28">
        <f t="shared" si="14"/>
        <v>0</v>
      </c>
      <c r="F28">
        <f t="shared" si="14"/>
        <v>1</v>
      </c>
      <c r="G28">
        <f t="shared" si="14"/>
        <v>1</v>
      </c>
      <c r="H28" t="str">
        <f t="shared" si="7"/>
        <v>11</v>
      </c>
      <c r="I28" t="str">
        <f t="shared" si="8"/>
        <v>0001</v>
      </c>
      <c r="J28">
        <f t="shared" si="9"/>
        <v>3</v>
      </c>
      <c r="K28">
        <f t="shared" si="9"/>
        <v>1</v>
      </c>
      <c r="L28">
        <f>VLOOKUP(J28,S6_BOX,K28+2,FALSE)</f>
        <v>3</v>
      </c>
      <c r="M28" t="str">
        <f t="shared" si="10"/>
        <v>0011</v>
      </c>
    </row>
    <row r="29" spans="1:49">
      <c r="A29" t="s">
        <v>160</v>
      </c>
      <c r="B29">
        <f>AL21</f>
        <v>0</v>
      </c>
      <c r="C29">
        <f t="shared" ref="C29:G29" si="15">AM21</f>
        <v>0</v>
      </c>
      <c r="D29">
        <f t="shared" si="15"/>
        <v>0</v>
      </c>
      <c r="E29">
        <f t="shared" si="15"/>
        <v>0</v>
      </c>
      <c r="F29">
        <f t="shared" si="15"/>
        <v>1</v>
      </c>
      <c r="G29">
        <f t="shared" si="15"/>
        <v>1</v>
      </c>
      <c r="H29" t="str">
        <f t="shared" si="7"/>
        <v>01</v>
      </c>
      <c r="I29" t="str">
        <f t="shared" si="8"/>
        <v>0001</v>
      </c>
      <c r="J29">
        <f t="shared" si="9"/>
        <v>1</v>
      </c>
      <c r="K29">
        <f t="shared" si="9"/>
        <v>1</v>
      </c>
      <c r="L29">
        <f>VLOOKUP(J29,S7_BOX,K29+2,FALSE)</f>
        <v>0</v>
      </c>
      <c r="M29" t="str">
        <f t="shared" si="10"/>
        <v>0000</v>
      </c>
    </row>
    <row r="30" spans="1:49">
      <c r="A30" t="s">
        <v>161</v>
      </c>
      <c r="B30">
        <f>AR21</f>
        <v>0</v>
      </c>
      <c r="C30">
        <f t="shared" ref="C30:G30" si="16">AS21</f>
        <v>0</v>
      </c>
      <c r="D30">
        <f t="shared" si="16"/>
        <v>1</v>
      </c>
      <c r="E30">
        <f t="shared" si="16"/>
        <v>0</v>
      </c>
      <c r="F30">
        <f t="shared" si="16"/>
        <v>1</v>
      </c>
      <c r="G30">
        <f t="shared" si="16"/>
        <v>0</v>
      </c>
      <c r="H30" t="str">
        <f t="shared" si="7"/>
        <v>00</v>
      </c>
      <c r="I30" t="str">
        <f t="shared" si="8"/>
        <v>0101</v>
      </c>
      <c r="J30">
        <f t="shared" si="9"/>
        <v>0</v>
      </c>
      <c r="K30">
        <f t="shared" si="9"/>
        <v>5</v>
      </c>
      <c r="L30">
        <f>VLOOKUP(J30,S8_BOX,K30+2,FALSE)</f>
        <v>15</v>
      </c>
      <c r="M30" t="str">
        <f t="shared" si="10"/>
        <v>1111</v>
      </c>
    </row>
    <row r="31" spans="1:49">
      <c r="A31" t="s">
        <v>162</v>
      </c>
      <c r="B31" t="str">
        <f>CONCATENATE(M23,M24,M25,M26,M27,M28,M29,M30)</f>
        <v>10100001101000000100001100001111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0</v>
      </c>
      <c r="E34" t="str">
        <f t="shared" si="17"/>
        <v>0</v>
      </c>
      <c r="F34" t="str">
        <f t="shared" si="17"/>
        <v>0</v>
      </c>
      <c r="G34" t="str">
        <f>CONCATENATE(C34,D34,E34,F34)</f>
        <v>0000</v>
      </c>
    </row>
    <row r="35" spans="1:33">
      <c r="B35">
        <v>2</v>
      </c>
      <c r="C35" t="str">
        <f t="shared" si="17"/>
        <v>1</v>
      </c>
      <c r="D35" t="str">
        <f t="shared" si="17"/>
        <v>0</v>
      </c>
      <c r="E35" t="str">
        <f t="shared" si="17"/>
        <v>0</v>
      </c>
      <c r="F35" t="str">
        <f t="shared" si="17"/>
        <v>0</v>
      </c>
      <c r="G35" t="str">
        <f t="shared" ref="G35:G41" si="18">CONCATENATE(C35,D35,E35,F35)</f>
        <v>1000</v>
      </c>
    </row>
    <row r="36" spans="1:33">
      <c r="B36">
        <v>3</v>
      </c>
      <c r="C36" t="str">
        <f t="shared" si="17"/>
        <v>1</v>
      </c>
      <c r="D36" t="str">
        <f t="shared" si="17"/>
        <v>0</v>
      </c>
      <c r="E36" t="str">
        <f t="shared" si="17"/>
        <v>1</v>
      </c>
      <c r="F36" t="str">
        <f t="shared" si="17"/>
        <v>0</v>
      </c>
      <c r="G36" t="str">
        <f t="shared" si="18"/>
        <v>1010</v>
      </c>
    </row>
    <row r="37" spans="1:33">
      <c r="B37">
        <v>4</v>
      </c>
      <c r="C37" t="str">
        <f t="shared" si="17"/>
        <v>0</v>
      </c>
      <c r="D37" t="str">
        <f t="shared" si="17"/>
        <v>1</v>
      </c>
      <c r="E37" t="str">
        <f t="shared" si="17"/>
        <v>1</v>
      </c>
      <c r="F37" t="str">
        <f t="shared" si="17"/>
        <v>0</v>
      </c>
      <c r="G37" t="str">
        <f t="shared" si="18"/>
        <v>0110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1</v>
      </c>
      <c r="F38" t="str">
        <f t="shared" si="17"/>
        <v>0</v>
      </c>
      <c r="G38" t="str">
        <f t="shared" si="18"/>
        <v>0110</v>
      </c>
    </row>
    <row r="39" spans="1:33">
      <c r="B39">
        <v>6</v>
      </c>
      <c r="C39" t="str">
        <f t="shared" si="17"/>
        <v>1</v>
      </c>
      <c r="D39" t="str">
        <f t="shared" si="17"/>
        <v>0</v>
      </c>
      <c r="E39" t="str">
        <f t="shared" si="17"/>
        <v>1</v>
      </c>
      <c r="F39" t="str">
        <f t="shared" si="17"/>
        <v>1</v>
      </c>
      <c r="G39" t="str">
        <f t="shared" si="18"/>
        <v>1011</v>
      </c>
    </row>
    <row r="40" spans="1:33">
      <c r="B40">
        <v>7</v>
      </c>
      <c r="C40" t="str">
        <f t="shared" si="17"/>
        <v>0</v>
      </c>
      <c r="D40" t="str">
        <f t="shared" si="17"/>
        <v>0</v>
      </c>
      <c r="E40" t="str">
        <f t="shared" si="17"/>
        <v>1</v>
      </c>
      <c r="F40" t="str">
        <f t="shared" si="17"/>
        <v>0</v>
      </c>
      <c r="G40" t="str">
        <f t="shared" si="18"/>
        <v>0010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0</v>
      </c>
      <c r="F41" t="str">
        <f t="shared" si="17"/>
        <v>0</v>
      </c>
      <c r="G41" t="str">
        <f t="shared" si="18"/>
        <v>0100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00001000101001100110101100100100</v>
      </c>
    </row>
    <row r="44" spans="1:33">
      <c r="B44" t="str">
        <f>MID($B$43,B42,1)</f>
        <v>0</v>
      </c>
      <c r="C44" t="str">
        <f t="shared" ref="C44:AG44" si="19">MID($B$43,C42,1)</f>
        <v>0</v>
      </c>
      <c r="D44" t="str">
        <f t="shared" si="19"/>
        <v>0</v>
      </c>
      <c r="E44" t="str">
        <f t="shared" si="19"/>
        <v>0</v>
      </c>
      <c r="F44" t="str">
        <f t="shared" si="19"/>
        <v>1</v>
      </c>
      <c r="G44" t="str">
        <f t="shared" si="19"/>
        <v>0</v>
      </c>
      <c r="H44" t="str">
        <f t="shared" si="19"/>
        <v>0</v>
      </c>
      <c r="I44" t="str">
        <f t="shared" si="19"/>
        <v>0</v>
      </c>
      <c r="J44" t="str">
        <f t="shared" si="19"/>
        <v>1</v>
      </c>
      <c r="K44" t="str">
        <f t="shared" si="19"/>
        <v>0</v>
      </c>
      <c r="L44" t="str">
        <f t="shared" si="19"/>
        <v>1</v>
      </c>
      <c r="M44" t="str">
        <f t="shared" si="19"/>
        <v>0</v>
      </c>
      <c r="N44" t="str">
        <f t="shared" si="19"/>
        <v>0</v>
      </c>
      <c r="O44" t="str">
        <f t="shared" si="19"/>
        <v>1</v>
      </c>
      <c r="P44" t="str">
        <f t="shared" si="19"/>
        <v>1</v>
      </c>
      <c r="Q44" t="str">
        <f t="shared" si="19"/>
        <v>0</v>
      </c>
      <c r="R44" t="str">
        <f t="shared" si="19"/>
        <v>0</v>
      </c>
      <c r="S44" t="str">
        <f t="shared" si="19"/>
        <v>1</v>
      </c>
      <c r="T44" t="str">
        <f t="shared" si="19"/>
        <v>1</v>
      </c>
      <c r="U44" t="str">
        <f t="shared" si="19"/>
        <v>0</v>
      </c>
      <c r="V44" t="str">
        <f t="shared" si="19"/>
        <v>1</v>
      </c>
      <c r="W44" t="str">
        <f t="shared" si="19"/>
        <v>0</v>
      </c>
      <c r="X44" t="str">
        <f t="shared" si="19"/>
        <v>1</v>
      </c>
      <c r="Y44" t="str">
        <f t="shared" si="19"/>
        <v>1</v>
      </c>
      <c r="Z44" t="str">
        <f t="shared" si="19"/>
        <v>0</v>
      </c>
      <c r="AA44" t="str">
        <f t="shared" si="19"/>
        <v>0</v>
      </c>
      <c r="AB44" t="str">
        <f t="shared" si="19"/>
        <v>1</v>
      </c>
      <c r="AC44" t="str">
        <f t="shared" si="19"/>
        <v>0</v>
      </c>
      <c r="AD44" t="str">
        <f t="shared" si="19"/>
        <v>0</v>
      </c>
      <c r="AE44" t="str">
        <f t="shared" si="19"/>
        <v>1</v>
      </c>
      <c r="AF44" t="str">
        <f t="shared" si="19"/>
        <v>0</v>
      </c>
      <c r="AG44" t="str">
        <f t="shared" si="19"/>
        <v>0</v>
      </c>
    </row>
    <row r="45" spans="1:33">
      <c r="A45" t="str">
        <f>CONCATENATE("L",C4-1)</f>
        <v>L6</v>
      </c>
      <c r="B45" s="8" t="str">
        <f>'R6'!C6</f>
        <v>10100001010110100100101110000111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1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0</v>
      </c>
      <c r="F46" t="str">
        <f t="shared" si="20"/>
        <v>0</v>
      </c>
      <c r="G46" t="str">
        <f t="shared" si="20"/>
        <v>0</v>
      </c>
      <c r="H46" t="str">
        <f t="shared" si="20"/>
        <v>0</v>
      </c>
      <c r="I46" t="str">
        <f t="shared" si="20"/>
        <v>1</v>
      </c>
      <c r="J46" t="str">
        <f t="shared" si="20"/>
        <v>0</v>
      </c>
      <c r="K46" t="str">
        <f t="shared" si="20"/>
        <v>1</v>
      </c>
      <c r="L46" t="str">
        <f t="shared" si="20"/>
        <v>0</v>
      </c>
      <c r="M46" t="str">
        <f t="shared" si="20"/>
        <v>1</v>
      </c>
      <c r="N46" t="str">
        <f t="shared" si="20"/>
        <v>1</v>
      </c>
      <c r="O46" t="str">
        <f t="shared" si="20"/>
        <v>0</v>
      </c>
      <c r="P46" t="str">
        <f t="shared" si="20"/>
        <v>1</v>
      </c>
      <c r="Q46" t="str">
        <f t="shared" si="20"/>
        <v>0</v>
      </c>
      <c r="R46" t="str">
        <f t="shared" si="20"/>
        <v>0</v>
      </c>
      <c r="S46" t="str">
        <f t="shared" si="20"/>
        <v>1</v>
      </c>
      <c r="T46" t="str">
        <f t="shared" si="20"/>
        <v>0</v>
      </c>
      <c r="U46" t="str">
        <f t="shared" si="20"/>
        <v>0</v>
      </c>
      <c r="V46" t="str">
        <f t="shared" si="20"/>
        <v>1</v>
      </c>
      <c r="W46" t="str">
        <f t="shared" si="20"/>
        <v>0</v>
      </c>
      <c r="X46" t="str">
        <f t="shared" si="20"/>
        <v>1</v>
      </c>
      <c r="Y46" t="str">
        <f t="shared" si="20"/>
        <v>1</v>
      </c>
      <c r="Z46" t="str">
        <f t="shared" si="20"/>
        <v>1</v>
      </c>
      <c r="AA46" t="str">
        <f t="shared" si="20"/>
        <v>0</v>
      </c>
      <c r="AB46" t="str">
        <f t="shared" si="20"/>
        <v>0</v>
      </c>
      <c r="AC46" t="str">
        <f t="shared" si="20"/>
        <v>0</v>
      </c>
      <c r="AD46" t="str">
        <f t="shared" si="20"/>
        <v>0</v>
      </c>
      <c r="AE46" t="str">
        <f t="shared" si="20"/>
        <v>1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R7</v>
      </c>
      <c r="B47">
        <f>IF(B44=B46,0,1)</f>
        <v>1</v>
      </c>
      <c r="C47">
        <f t="shared" ref="C47:AG47" si="21">IF(C44=C46,0,1)</f>
        <v>0</v>
      </c>
      <c r="D47">
        <f t="shared" si="21"/>
        <v>1</v>
      </c>
      <c r="E47">
        <f t="shared" si="21"/>
        <v>0</v>
      </c>
      <c r="F47">
        <f t="shared" si="21"/>
        <v>1</v>
      </c>
      <c r="G47">
        <f t="shared" si="21"/>
        <v>0</v>
      </c>
      <c r="H47">
        <f t="shared" si="21"/>
        <v>0</v>
      </c>
      <c r="I47">
        <f t="shared" si="21"/>
        <v>1</v>
      </c>
      <c r="J47">
        <f t="shared" si="21"/>
        <v>1</v>
      </c>
      <c r="K47">
        <f t="shared" si="21"/>
        <v>1</v>
      </c>
      <c r="L47">
        <f t="shared" si="21"/>
        <v>1</v>
      </c>
      <c r="M47">
        <f t="shared" si="21"/>
        <v>1</v>
      </c>
      <c r="N47">
        <f t="shared" si="21"/>
        <v>1</v>
      </c>
      <c r="O47">
        <f t="shared" si="21"/>
        <v>1</v>
      </c>
      <c r="P47">
        <f t="shared" si="21"/>
        <v>0</v>
      </c>
      <c r="Q47">
        <f t="shared" si="21"/>
        <v>0</v>
      </c>
      <c r="R47">
        <f t="shared" si="21"/>
        <v>0</v>
      </c>
      <c r="S47">
        <f t="shared" si="21"/>
        <v>0</v>
      </c>
      <c r="T47">
        <f t="shared" si="21"/>
        <v>1</v>
      </c>
      <c r="U47">
        <f t="shared" si="21"/>
        <v>0</v>
      </c>
      <c r="V47">
        <f t="shared" si="21"/>
        <v>0</v>
      </c>
      <c r="W47">
        <f t="shared" si="21"/>
        <v>0</v>
      </c>
      <c r="X47">
        <f t="shared" si="21"/>
        <v>0</v>
      </c>
      <c r="Y47">
        <f t="shared" si="21"/>
        <v>0</v>
      </c>
      <c r="Z47">
        <f t="shared" si="21"/>
        <v>1</v>
      </c>
      <c r="AA47">
        <f t="shared" si="21"/>
        <v>0</v>
      </c>
      <c r="AB47">
        <f t="shared" si="21"/>
        <v>1</v>
      </c>
      <c r="AC47">
        <f t="shared" si="21"/>
        <v>0</v>
      </c>
      <c r="AD47">
        <f t="shared" si="21"/>
        <v>0</v>
      </c>
      <c r="AE47">
        <f t="shared" si="21"/>
        <v>0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1010</v>
      </c>
      <c r="F48" t="str">
        <f>CONCATENATE(F47,G47,H47,I47)</f>
        <v>1001</v>
      </c>
      <c r="J48" t="str">
        <f>CONCATENATE(J47,K47,L47,M47)</f>
        <v>1111</v>
      </c>
      <c r="N48" t="str">
        <f>CONCATENATE(N47,O47,P47,Q47)</f>
        <v>1100</v>
      </c>
      <c r="R48" t="str">
        <f>CONCATENATE(R47,S47,T47,U47)</f>
        <v>0010</v>
      </c>
      <c r="V48" t="str">
        <f>CONCATENATE(V47,W47,X47,Y47)</f>
        <v>0000</v>
      </c>
      <c r="Z48" t="str">
        <f>CONCATENATE(Z47,AA47,AB47,AC47)</f>
        <v>1010</v>
      </c>
      <c r="AD48" t="str">
        <f>CONCATENATE(AD47,AE47,AF47,AG47)</f>
        <v>0011</v>
      </c>
    </row>
    <row r="49" spans="1:2">
      <c r="A49" t="str">
        <f>A47</f>
        <v>R7</v>
      </c>
      <c r="B49" t="str">
        <f>CONCATENATE(B48,F48,J48,N48,R48,V48,Z48,AD48)</f>
        <v>10101001111111000010000010100011</v>
      </c>
    </row>
    <row r="50" spans="1:2">
      <c r="A50" t="str">
        <f>CONCATENATE(A49," hex")</f>
        <v>R7 hex</v>
      </c>
      <c r="B50" t="str">
        <f>CONCATENATE(BIN2HEX(B48),BIN2HEX(F48),BIN2HEX(J48),BIN2HEX(N48),BIN2HEX(R48),BIN2HEX(V48),BIN2HEX(Z48),BIN2HEX(AD48))</f>
        <v>A9FC20A3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50"/>
  <sheetViews>
    <sheetView topLeftCell="A22" workbookViewId="0">
      <selection activeCell="A22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8</v>
      </c>
    </row>
    <row r="5" spans="1:13">
      <c r="A5" t="str">
        <f>CONCATENATE("K",C4)</f>
        <v>K8</v>
      </c>
      <c r="C5" s="8" t="str">
        <f>Kn!O9</f>
        <v>001101001111100000100010111100001100011001101101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L8   =</v>
      </c>
      <c r="B6" t="str">
        <f>CONCATENATE("R",(C4-1))</f>
        <v>R7</v>
      </c>
      <c r="C6" s="8" t="str">
        <f>'R7'!B49</f>
        <v>10101001111111000010000010100011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E(R7)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1</v>
      </c>
      <c r="E8" s="1" t="str">
        <f t="shared" si="0"/>
        <v>0</v>
      </c>
      <c r="F8" s="1" t="str">
        <f t="shared" si="0"/>
        <v>1</v>
      </c>
      <c r="G8" s="1" t="str">
        <f t="shared" si="0"/>
        <v>0</v>
      </c>
      <c r="H8" s="1" t="str">
        <f t="shared" si="0"/>
        <v>1</v>
      </c>
      <c r="I8" s="6" t="str">
        <f>CONCATENATE(C8,D8,E8,F8,G8,H8)</f>
        <v>110101</v>
      </c>
    </row>
    <row r="9" spans="1:13">
      <c r="B9">
        <v>2</v>
      </c>
      <c r="C9" s="1" t="str">
        <f t="shared" si="0"/>
        <v>0</v>
      </c>
      <c r="D9" s="1" t="str">
        <f t="shared" si="0"/>
        <v>1</v>
      </c>
      <c r="E9" s="1" t="str">
        <f t="shared" si="0"/>
        <v>0</v>
      </c>
      <c r="F9" s="1" t="str">
        <f t="shared" si="0"/>
        <v>0</v>
      </c>
      <c r="G9" s="1" t="str">
        <f t="shared" si="0"/>
        <v>1</v>
      </c>
      <c r="H9" s="1" t="str">
        <f t="shared" si="0"/>
        <v>1</v>
      </c>
      <c r="I9" s="6" t="str">
        <f t="shared" ref="I9:I15" si="1">CONCATENATE(C9,D9,E9,F9,G9,H9)</f>
        <v>010011</v>
      </c>
    </row>
    <row r="10" spans="1:13">
      <c r="B10">
        <v>3</v>
      </c>
      <c r="C10" s="1" t="str">
        <f t="shared" si="0"/>
        <v>1</v>
      </c>
      <c r="D10" s="1" t="str">
        <f t="shared" si="0"/>
        <v>1</v>
      </c>
      <c r="E10" s="1" t="str">
        <f t="shared" si="0"/>
        <v>1</v>
      </c>
      <c r="F10" s="1" t="str">
        <f t="shared" si="0"/>
        <v>1</v>
      </c>
      <c r="G10" s="1" t="str">
        <f t="shared" si="0"/>
        <v>1</v>
      </c>
      <c r="H10" s="1" t="str">
        <f t="shared" si="0"/>
        <v>1</v>
      </c>
      <c r="I10" s="6" t="str">
        <f t="shared" si="1"/>
        <v>111111</v>
      </c>
    </row>
    <row r="11" spans="1:13">
      <c r="B11">
        <v>4</v>
      </c>
      <c r="C11" s="1" t="str">
        <f t="shared" si="0"/>
        <v>1</v>
      </c>
      <c r="D11" s="1" t="str">
        <f t="shared" si="0"/>
        <v>1</v>
      </c>
      <c r="E11" s="1" t="str">
        <f t="shared" si="0"/>
        <v>1</v>
      </c>
      <c r="F11" s="1" t="str">
        <f t="shared" si="0"/>
        <v>0</v>
      </c>
      <c r="G11" s="1" t="str">
        <f t="shared" si="0"/>
        <v>0</v>
      </c>
      <c r="H11" s="1" t="str">
        <f t="shared" si="0"/>
        <v>0</v>
      </c>
      <c r="I11" s="6" t="str">
        <f t="shared" si="1"/>
        <v>111000</v>
      </c>
    </row>
    <row r="12" spans="1:13">
      <c r="B12">
        <v>5</v>
      </c>
      <c r="C12" s="1" t="str">
        <f t="shared" si="0"/>
        <v>0</v>
      </c>
      <c r="D12" s="1" t="str">
        <f t="shared" si="0"/>
        <v>0</v>
      </c>
      <c r="E12" s="1" t="str">
        <f t="shared" si="0"/>
        <v>0</v>
      </c>
      <c r="F12" s="1" t="str">
        <f t="shared" si="0"/>
        <v>1</v>
      </c>
      <c r="G12" s="1" t="str">
        <f t="shared" si="0"/>
        <v>0</v>
      </c>
      <c r="H12" s="1" t="str">
        <f t="shared" si="0"/>
        <v>0</v>
      </c>
      <c r="I12" s="6" t="str">
        <f t="shared" si="1"/>
        <v>000100</v>
      </c>
    </row>
    <row r="13" spans="1:13">
      <c r="B13">
        <v>6</v>
      </c>
      <c r="C13" s="1" t="str">
        <f t="shared" si="0"/>
        <v>0</v>
      </c>
      <c r="D13" s="1" t="str">
        <f t="shared" si="0"/>
        <v>0</v>
      </c>
      <c r="E13" s="1" t="str">
        <f t="shared" si="0"/>
        <v>0</v>
      </c>
      <c r="F13" s="1" t="str">
        <f t="shared" si="0"/>
        <v>0</v>
      </c>
      <c r="G13" s="1" t="str">
        <f t="shared" si="0"/>
        <v>0</v>
      </c>
      <c r="H13" s="1" t="str">
        <f t="shared" si="0"/>
        <v>1</v>
      </c>
      <c r="I13" s="6" t="str">
        <f t="shared" si="1"/>
        <v>000001</v>
      </c>
    </row>
    <row r="14" spans="1:13">
      <c r="B14">
        <v>7</v>
      </c>
      <c r="C14" s="1" t="str">
        <f t="shared" si="0"/>
        <v>0</v>
      </c>
      <c r="D14" s="1" t="str">
        <f t="shared" si="0"/>
        <v>1</v>
      </c>
      <c r="E14" s="1" t="str">
        <f t="shared" si="0"/>
        <v>0</v>
      </c>
      <c r="F14" s="1" t="str">
        <f t="shared" si="0"/>
        <v>1</v>
      </c>
      <c r="G14" s="1" t="str">
        <f t="shared" si="0"/>
        <v>0</v>
      </c>
      <c r="H14" s="1" t="str">
        <f t="shared" si="0"/>
        <v>0</v>
      </c>
      <c r="I14" s="6" t="str">
        <f t="shared" si="1"/>
        <v>010100</v>
      </c>
    </row>
    <row r="15" spans="1:13">
      <c r="B15">
        <v>8</v>
      </c>
      <c r="C15" s="1" t="str">
        <f t="shared" si="0"/>
        <v>0</v>
      </c>
      <c r="D15" s="1" t="str">
        <f t="shared" si="0"/>
        <v>0</v>
      </c>
      <c r="E15" s="1" t="str">
        <f t="shared" si="0"/>
        <v>0</v>
      </c>
      <c r="F15" s="1" t="str">
        <f t="shared" si="0"/>
        <v>1</v>
      </c>
      <c r="G15" s="1" t="str">
        <f t="shared" si="0"/>
        <v>1</v>
      </c>
      <c r="H15" s="1" t="str">
        <f t="shared" si="0"/>
        <v>1</v>
      </c>
      <c r="I15" s="6" t="str">
        <f t="shared" si="1"/>
        <v>000111</v>
      </c>
    </row>
    <row r="16" spans="1:13">
      <c r="A16" t="str">
        <f>A8</f>
        <v>E(R7)</v>
      </c>
      <c r="B16" t="str">
        <f>CONCATENATE(I8,I9,I10,I11,I12,I13,I14,I15)</f>
        <v>110101010011111111111000000100000001010100000111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K8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1</v>
      </c>
      <c r="E19" t="str">
        <f t="shared" si="2"/>
        <v>1</v>
      </c>
      <c r="F19" t="str">
        <f t="shared" si="2"/>
        <v>0</v>
      </c>
      <c r="G19" t="str">
        <f t="shared" si="2"/>
        <v>1</v>
      </c>
      <c r="H19" t="str">
        <f t="shared" si="2"/>
        <v>0</v>
      </c>
      <c r="I19" t="str">
        <f t="shared" si="2"/>
        <v>0</v>
      </c>
      <c r="J19" t="str">
        <f t="shared" si="2"/>
        <v>1</v>
      </c>
      <c r="K19" t="str">
        <f t="shared" si="2"/>
        <v>1</v>
      </c>
      <c r="L19" t="str">
        <f t="shared" si="2"/>
        <v>1</v>
      </c>
      <c r="M19" t="str">
        <f t="shared" si="2"/>
        <v>1</v>
      </c>
      <c r="N19" t="str">
        <f t="shared" si="2"/>
        <v>1</v>
      </c>
      <c r="O19" t="str">
        <f t="shared" si="2"/>
        <v>0</v>
      </c>
      <c r="P19" t="str">
        <f t="shared" si="2"/>
        <v>0</v>
      </c>
      <c r="Q19" t="str">
        <f t="shared" si="2"/>
        <v>0</v>
      </c>
      <c r="R19" t="str">
        <f t="shared" si="2"/>
        <v>0</v>
      </c>
      <c r="S19" t="str">
        <f t="shared" si="2"/>
        <v>0</v>
      </c>
      <c r="T19" t="str">
        <f t="shared" si="2"/>
        <v>1</v>
      </c>
      <c r="U19" t="str">
        <f t="shared" si="2"/>
        <v>0</v>
      </c>
      <c r="V19" t="str">
        <f t="shared" si="2"/>
        <v>0</v>
      </c>
      <c r="W19" t="str">
        <f t="shared" si="2"/>
        <v>0</v>
      </c>
      <c r="X19" t="str">
        <f t="shared" si="2"/>
        <v>1</v>
      </c>
      <c r="Y19" t="str">
        <f t="shared" si="2"/>
        <v>0</v>
      </c>
      <c r="Z19" t="str">
        <f t="shared" si="2"/>
        <v>1</v>
      </c>
      <c r="AA19" t="str">
        <f t="shared" si="2"/>
        <v>1</v>
      </c>
      <c r="AB19" t="str">
        <f t="shared" si="2"/>
        <v>1</v>
      </c>
      <c r="AC19" t="str">
        <f t="shared" si="2"/>
        <v>1</v>
      </c>
      <c r="AD19" t="str">
        <f t="shared" si="2"/>
        <v>0</v>
      </c>
      <c r="AE19" t="str">
        <f t="shared" si="2"/>
        <v>0</v>
      </c>
      <c r="AF19" t="str">
        <f t="shared" si="2"/>
        <v>0</v>
      </c>
      <c r="AG19" t="str">
        <f t="shared" si="2"/>
        <v>0</v>
      </c>
      <c r="AH19" t="str">
        <f t="shared" si="2"/>
        <v>1</v>
      </c>
      <c r="AI19" t="str">
        <f t="shared" si="2"/>
        <v>1</v>
      </c>
      <c r="AJ19" t="str">
        <f t="shared" si="2"/>
        <v>0</v>
      </c>
      <c r="AK19" t="str">
        <f t="shared" si="2"/>
        <v>0</v>
      </c>
      <c r="AL19" t="str">
        <f t="shared" si="2"/>
        <v>0</v>
      </c>
      <c r="AM19" t="str">
        <f t="shared" si="2"/>
        <v>1</v>
      </c>
      <c r="AN19" t="str">
        <f t="shared" si="2"/>
        <v>1</v>
      </c>
      <c r="AO19" t="str">
        <f t="shared" si="2"/>
        <v>0</v>
      </c>
      <c r="AP19" t="str">
        <f t="shared" si="2"/>
        <v>0</v>
      </c>
      <c r="AQ19" t="str">
        <f t="shared" si="2"/>
        <v>1</v>
      </c>
      <c r="AR19" t="str">
        <f t="shared" si="2"/>
        <v>1</v>
      </c>
      <c r="AS19" t="str">
        <f t="shared" si="2"/>
        <v>0</v>
      </c>
      <c r="AT19" t="str">
        <f t="shared" si="2"/>
        <v>1</v>
      </c>
      <c r="AU19" t="str">
        <f t="shared" si="2"/>
        <v>1</v>
      </c>
      <c r="AV19" t="str">
        <f t="shared" si="2"/>
        <v>0</v>
      </c>
      <c r="AW19" t="str">
        <f t="shared" si="2"/>
        <v>1</v>
      </c>
    </row>
    <row r="20" spans="1:49">
      <c r="A20" t="str">
        <f>A16</f>
        <v>E(R7)</v>
      </c>
      <c r="B20" t="str">
        <f>MID($B$16,B18,1)</f>
        <v>1</v>
      </c>
      <c r="C20" t="str">
        <f t="shared" ref="C20:AW20" si="3">MID($B$16,C18,1)</f>
        <v>1</v>
      </c>
      <c r="D20" t="str">
        <f t="shared" si="3"/>
        <v>0</v>
      </c>
      <c r="E20" t="str">
        <f t="shared" si="3"/>
        <v>1</v>
      </c>
      <c r="F20" t="str">
        <f t="shared" si="3"/>
        <v>0</v>
      </c>
      <c r="G20" t="str">
        <f t="shared" si="3"/>
        <v>1</v>
      </c>
      <c r="H20" t="str">
        <f t="shared" si="3"/>
        <v>0</v>
      </c>
      <c r="I20" t="str">
        <f t="shared" si="3"/>
        <v>1</v>
      </c>
      <c r="J20" t="str">
        <f t="shared" si="3"/>
        <v>0</v>
      </c>
      <c r="K20" t="str">
        <f t="shared" si="3"/>
        <v>0</v>
      </c>
      <c r="L20" t="str">
        <f t="shared" si="3"/>
        <v>1</v>
      </c>
      <c r="M20" t="str">
        <f t="shared" si="3"/>
        <v>1</v>
      </c>
      <c r="N20" t="str">
        <f t="shared" si="3"/>
        <v>1</v>
      </c>
      <c r="O20" t="str">
        <f t="shared" si="3"/>
        <v>1</v>
      </c>
      <c r="P20" t="str">
        <f t="shared" si="3"/>
        <v>1</v>
      </c>
      <c r="Q20" t="str">
        <f t="shared" si="3"/>
        <v>1</v>
      </c>
      <c r="R20" t="str">
        <f t="shared" si="3"/>
        <v>1</v>
      </c>
      <c r="S20" t="str">
        <f t="shared" si="3"/>
        <v>1</v>
      </c>
      <c r="T20" t="str">
        <f t="shared" si="3"/>
        <v>1</v>
      </c>
      <c r="U20" t="str">
        <f t="shared" si="3"/>
        <v>1</v>
      </c>
      <c r="V20" t="str">
        <f t="shared" si="3"/>
        <v>1</v>
      </c>
      <c r="W20" t="str">
        <f t="shared" si="3"/>
        <v>0</v>
      </c>
      <c r="X20" t="str">
        <f t="shared" si="3"/>
        <v>0</v>
      </c>
      <c r="Y20" t="str">
        <f t="shared" si="3"/>
        <v>0</v>
      </c>
      <c r="Z20" t="str">
        <f t="shared" si="3"/>
        <v>0</v>
      </c>
      <c r="AA20" t="str">
        <f t="shared" si="3"/>
        <v>0</v>
      </c>
      <c r="AB20" t="str">
        <f t="shared" si="3"/>
        <v>0</v>
      </c>
      <c r="AC20" t="str">
        <f t="shared" si="3"/>
        <v>1</v>
      </c>
      <c r="AD20" t="str">
        <f t="shared" si="3"/>
        <v>0</v>
      </c>
      <c r="AE20" t="str">
        <f t="shared" si="3"/>
        <v>0</v>
      </c>
      <c r="AF20" t="str">
        <f t="shared" si="3"/>
        <v>0</v>
      </c>
      <c r="AG20" t="str">
        <f t="shared" si="3"/>
        <v>0</v>
      </c>
      <c r="AH20" t="str">
        <f t="shared" si="3"/>
        <v>0</v>
      </c>
      <c r="AI20" t="str">
        <f t="shared" si="3"/>
        <v>0</v>
      </c>
      <c r="AJ20" t="str">
        <f t="shared" si="3"/>
        <v>0</v>
      </c>
      <c r="AK20" t="str">
        <f t="shared" si="3"/>
        <v>1</v>
      </c>
      <c r="AL20" t="str">
        <f t="shared" si="3"/>
        <v>0</v>
      </c>
      <c r="AM20" t="str">
        <f t="shared" si="3"/>
        <v>1</v>
      </c>
      <c r="AN20" t="str">
        <f t="shared" si="3"/>
        <v>0</v>
      </c>
      <c r="AO20" t="str">
        <f t="shared" si="3"/>
        <v>1</v>
      </c>
      <c r="AP20" t="str">
        <f t="shared" si="3"/>
        <v>0</v>
      </c>
      <c r="AQ20" t="str">
        <f t="shared" si="3"/>
        <v>0</v>
      </c>
      <c r="AR20" t="str">
        <f t="shared" si="3"/>
        <v>0</v>
      </c>
      <c r="AS20" t="str">
        <f t="shared" si="3"/>
        <v>0</v>
      </c>
      <c r="AT20" t="str">
        <f t="shared" si="3"/>
        <v>0</v>
      </c>
      <c r="AU20" t="str">
        <f t="shared" si="3"/>
        <v>1</v>
      </c>
      <c r="AV20" t="str">
        <f t="shared" si="3"/>
        <v>1</v>
      </c>
      <c r="AW20" t="str">
        <f t="shared" si="3"/>
        <v>1</v>
      </c>
    </row>
    <row r="21" spans="1:49">
      <c r="A21" s="6" t="str">
        <f>CONCATENATE(A19," + ",A20)</f>
        <v>K8 + E(R7)</v>
      </c>
      <c r="B21" s="1">
        <f>IF(B19=B20,0,1)</f>
        <v>1</v>
      </c>
      <c r="C21" s="1">
        <f t="shared" ref="C21:AW21" si="4">IF(C19=C20,0,1)</f>
        <v>1</v>
      </c>
      <c r="D21" s="1">
        <f t="shared" si="4"/>
        <v>1</v>
      </c>
      <c r="E21" s="1">
        <f t="shared" si="4"/>
        <v>0</v>
      </c>
      <c r="F21" s="1">
        <f t="shared" si="4"/>
        <v>0</v>
      </c>
      <c r="G21" s="1">
        <f t="shared" si="4"/>
        <v>0</v>
      </c>
      <c r="H21" s="1">
        <f t="shared" si="4"/>
        <v>0</v>
      </c>
      <c r="I21" s="1">
        <f t="shared" si="4"/>
        <v>1</v>
      </c>
      <c r="J21" s="1">
        <f t="shared" si="4"/>
        <v>1</v>
      </c>
      <c r="K21" s="1">
        <f t="shared" si="4"/>
        <v>1</v>
      </c>
      <c r="L21" s="1">
        <f t="shared" si="4"/>
        <v>0</v>
      </c>
      <c r="M21" s="1">
        <f t="shared" si="4"/>
        <v>0</v>
      </c>
      <c r="N21" s="1">
        <f t="shared" si="4"/>
        <v>0</v>
      </c>
      <c r="O21" s="1">
        <f t="shared" si="4"/>
        <v>1</v>
      </c>
      <c r="P21" s="1">
        <f t="shared" si="4"/>
        <v>1</v>
      </c>
      <c r="Q21" s="1">
        <f t="shared" si="4"/>
        <v>1</v>
      </c>
      <c r="R21" s="1">
        <f t="shared" si="4"/>
        <v>1</v>
      </c>
      <c r="S21" s="1">
        <f t="shared" si="4"/>
        <v>1</v>
      </c>
      <c r="T21" s="1">
        <f t="shared" si="4"/>
        <v>0</v>
      </c>
      <c r="U21" s="1">
        <f t="shared" si="4"/>
        <v>1</v>
      </c>
      <c r="V21" s="1">
        <f t="shared" si="4"/>
        <v>1</v>
      </c>
      <c r="W21" s="1">
        <f t="shared" si="4"/>
        <v>0</v>
      </c>
      <c r="X21" s="1">
        <f t="shared" si="4"/>
        <v>1</v>
      </c>
      <c r="Y21" s="1">
        <f t="shared" si="4"/>
        <v>0</v>
      </c>
      <c r="Z21" s="1">
        <f t="shared" si="4"/>
        <v>1</v>
      </c>
      <c r="AA21" s="1">
        <f t="shared" si="4"/>
        <v>1</v>
      </c>
      <c r="AB21" s="1">
        <f t="shared" si="4"/>
        <v>1</v>
      </c>
      <c r="AC21" s="1">
        <f t="shared" si="4"/>
        <v>0</v>
      </c>
      <c r="AD21" s="1">
        <f t="shared" si="4"/>
        <v>0</v>
      </c>
      <c r="AE21" s="1">
        <f t="shared" si="4"/>
        <v>0</v>
      </c>
      <c r="AF21" s="1">
        <f t="shared" si="4"/>
        <v>0</v>
      </c>
      <c r="AG21" s="1">
        <f t="shared" si="4"/>
        <v>0</v>
      </c>
      <c r="AH21" s="1">
        <f t="shared" si="4"/>
        <v>1</v>
      </c>
      <c r="AI21" s="1">
        <f t="shared" si="4"/>
        <v>1</v>
      </c>
      <c r="AJ21" s="1">
        <f t="shared" si="4"/>
        <v>0</v>
      </c>
      <c r="AK21" s="1">
        <f t="shared" si="4"/>
        <v>1</v>
      </c>
      <c r="AL21" s="1">
        <f t="shared" si="4"/>
        <v>0</v>
      </c>
      <c r="AM21" s="1">
        <f t="shared" si="4"/>
        <v>0</v>
      </c>
      <c r="AN21" s="1">
        <f t="shared" si="4"/>
        <v>1</v>
      </c>
      <c r="AO21" s="1">
        <f t="shared" si="4"/>
        <v>1</v>
      </c>
      <c r="AP21" s="1">
        <f t="shared" si="4"/>
        <v>0</v>
      </c>
      <c r="AQ21" s="1">
        <f t="shared" si="4"/>
        <v>1</v>
      </c>
      <c r="AR21" s="1">
        <f t="shared" si="4"/>
        <v>1</v>
      </c>
      <c r="AS21" s="1">
        <f t="shared" si="4"/>
        <v>0</v>
      </c>
      <c r="AT21" s="1">
        <f t="shared" si="4"/>
        <v>1</v>
      </c>
      <c r="AU21" s="1">
        <f t="shared" si="4"/>
        <v>0</v>
      </c>
      <c r="AV21" s="1">
        <f t="shared" si="4"/>
        <v>1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1</v>
      </c>
      <c r="C23">
        <f t="shared" ref="C23:G23" si="5">C21</f>
        <v>1</v>
      </c>
      <c r="D23">
        <f t="shared" si="5"/>
        <v>1</v>
      </c>
      <c r="E23">
        <f t="shared" si="5"/>
        <v>0</v>
      </c>
      <c r="F23">
        <f t="shared" si="5"/>
        <v>0</v>
      </c>
      <c r="G23">
        <f t="shared" si="5"/>
        <v>0</v>
      </c>
      <c r="H23" t="str">
        <f>CONCATENATE(B23,G23)</f>
        <v>10</v>
      </c>
      <c r="I23" t="str">
        <f>CONCATENATE(C23,D23,E23,F23)</f>
        <v>1100</v>
      </c>
      <c r="J23">
        <f>BIN2DEC(H23)</f>
        <v>2</v>
      </c>
      <c r="K23">
        <f>BIN2DEC(I23)</f>
        <v>12</v>
      </c>
      <c r="L23">
        <f>VLOOKUP(J23,S1_BOX,K23+2,FALSE)</f>
        <v>3</v>
      </c>
      <c r="M23" t="str">
        <f>DEC2BIN(L23,4)</f>
        <v>0011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1</v>
      </c>
      <c r="E24">
        <f t="shared" si="6"/>
        <v>1</v>
      </c>
      <c r="F24">
        <f t="shared" si="6"/>
        <v>0</v>
      </c>
      <c r="G24">
        <f t="shared" si="6"/>
        <v>0</v>
      </c>
      <c r="H24" t="str">
        <f t="shared" ref="H24:H30" si="7">CONCATENATE(B24,G24)</f>
        <v>00</v>
      </c>
      <c r="I24" t="str">
        <f t="shared" ref="I24:I30" si="8">CONCATENATE(C24,D24,E24,F24)</f>
        <v>1110</v>
      </c>
      <c r="J24">
        <f t="shared" ref="J24:K30" si="9">BIN2DEC(H24)</f>
        <v>0</v>
      </c>
      <c r="K24">
        <f t="shared" si="9"/>
        <v>14</v>
      </c>
      <c r="L24">
        <f>VLOOKUP(J24,S2_BOX,K24+2,FALSE)</f>
        <v>5</v>
      </c>
      <c r="M24" t="str">
        <f t="shared" ref="M24:M30" si="10">DEC2BIN(L24,4)</f>
        <v>0101</v>
      </c>
    </row>
    <row r="25" spans="1:49">
      <c r="A25" t="s">
        <v>156</v>
      </c>
      <c r="B25">
        <f>N21</f>
        <v>0</v>
      </c>
      <c r="C25">
        <f t="shared" ref="C25:G25" si="11">O21</f>
        <v>1</v>
      </c>
      <c r="D25">
        <f t="shared" si="11"/>
        <v>1</v>
      </c>
      <c r="E25">
        <f t="shared" si="11"/>
        <v>1</v>
      </c>
      <c r="F25">
        <f t="shared" si="11"/>
        <v>1</v>
      </c>
      <c r="G25">
        <f t="shared" si="11"/>
        <v>1</v>
      </c>
      <c r="H25" t="str">
        <f t="shared" si="7"/>
        <v>01</v>
      </c>
      <c r="I25" t="str">
        <f t="shared" si="8"/>
        <v>1111</v>
      </c>
      <c r="J25">
        <f t="shared" si="9"/>
        <v>1</v>
      </c>
      <c r="K25">
        <f t="shared" si="9"/>
        <v>15</v>
      </c>
      <c r="L25">
        <f>VLOOKUP(J25,S3_BOX,K25+2,FALSE)</f>
        <v>1</v>
      </c>
      <c r="M25" t="str">
        <f t="shared" si="10"/>
        <v>0001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1</v>
      </c>
      <c r="E26">
        <f t="shared" si="12"/>
        <v>0</v>
      </c>
      <c r="F26">
        <f t="shared" si="12"/>
        <v>1</v>
      </c>
      <c r="G26">
        <f t="shared" si="12"/>
        <v>0</v>
      </c>
      <c r="H26" t="str">
        <f t="shared" si="7"/>
        <v>00</v>
      </c>
      <c r="I26" t="str">
        <f t="shared" si="8"/>
        <v>1101</v>
      </c>
      <c r="J26">
        <f t="shared" si="9"/>
        <v>0</v>
      </c>
      <c r="K26">
        <f t="shared" si="9"/>
        <v>13</v>
      </c>
      <c r="L26">
        <f>VLOOKUP(J26,S4_BOX,K26+2,FALSE)</f>
        <v>12</v>
      </c>
      <c r="M26" t="str">
        <f t="shared" si="10"/>
        <v>1100</v>
      </c>
    </row>
    <row r="27" spans="1:49">
      <c r="A27" t="s">
        <v>158</v>
      </c>
      <c r="B27">
        <f>Z21</f>
        <v>1</v>
      </c>
      <c r="C27">
        <f t="shared" ref="C27:G27" si="13">AA21</f>
        <v>1</v>
      </c>
      <c r="D27">
        <f t="shared" si="13"/>
        <v>1</v>
      </c>
      <c r="E27">
        <f t="shared" si="13"/>
        <v>0</v>
      </c>
      <c r="F27">
        <f t="shared" si="13"/>
        <v>0</v>
      </c>
      <c r="G27">
        <f t="shared" si="13"/>
        <v>0</v>
      </c>
      <c r="H27" t="str">
        <f t="shared" si="7"/>
        <v>10</v>
      </c>
      <c r="I27" t="str">
        <f t="shared" si="8"/>
        <v>1100</v>
      </c>
      <c r="J27">
        <f t="shared" si="9"/>
        <v>2</v>
      </c>
      <c r="K27">
        <f t="shared" si="9"/>
        <v>12</v>
      </c>
      <c r="L27">
        <f>VLOOKUP(J27,S5_BOX,K27+2,FALSE)</f>
        <v>6</v>
      </c>
      <c r="M27" t="str">
        <f t="shared" si="10"/>
        <v>0110</v>
      </c>
    </row>
    <row r="28" spans="1:49">
      <c r="A28" t="s">
        <v>159</v>
      </c>
      <c r="B28">
        <f>AF21</f>
        <v>0</v>
      </c>
      <c r="C28">
        <f t="shared" ref="C28:G28" si="14">AG21</f>
        <v>0</v>
      </c>
      <c r="D28">
        <f t="shared" si="14"/>
        <v>1</v>
      </c>
      <c r="E28">
        <f t="shared" si="14"/>
        <v>1</v>
      </c>
      <c r="F28">
        <f t="shared" si="14"/>
        <v>0</v>
      </c>
      <c r="G28">
        <f t="shared" si="14"/>
        <v>1</v>
      </c>
      <c r="H28" t="str">
        <f t="shared" si="7"/>
        <v>01</v>
      </c>
      <c r="I28" t="str">
        <f t="shared" si="8"/>
        <v>0110</v>
      </c>
      <c r="J28">
        <f t="shared" si="9"/>
        <v>1</v>
      </c>
      <c r="K28">
        <f t="shared" si="9"/>
        <v>6</v>
      </c>
      <c r="L28">
        <f>VLOOKUP(J28,S6_BOX,K28+2,FALSE)</f>
        <v>9</v>
      </c>
      <c r="M28" t="str">
        <f t="shared" si="10"/>
        <v>1001</v>
      </c>
    </row>
    <row r="29" spans="1:49">
      <c r="A29" t="s">
        <v>160</v>
      </c>
      <c r="B29">
        <f>AL21</f>
        <v>0</v>
      </c>
      <c r="C29">
        <f t="shared" ref="C29:G29" si="15">AM21</f>
        <v>0</v>
      </c>
      <c r="D29">
        <f t="shared" si="15"/>
        <v>1</v>
      </c>
      <c r="E29">
        <f t="shared" si="15"/>
        <v>1</v>
      </c>
      <c r="F29">
        <f t="shared" si="15"/>
        <v>0</v>
      </c>
      <c r="G29">
        <f t="shared" si="15"/>
        <v>1</v>
      </c>
      <c r="H29" t="str">
        <f t="shared" si="7"/>
        <v>01</v>
      </c>
      <c r="I29" t="str">
        <f t="shared" si="8"/>
        <v>0110</v>
      </c>
      <c r="J29">
        <f t="shared" si="9"/>
        <v>1</v>
      </c>
      <c r="K29">
        <f t="shared" si="9"/>
        <v>6</v>
      </c>
      <c r="L29">
        <f>VLOOKUP(J29,S7_BOX,K29+2,FALSE)</f>
        <v>1</v>
      </c>
      <c r="M29" t="str">
        <f t="shared" si="10"/>
        <v>0001</v>
      </c>
    </row>
    <row r="30" spans="1:49">
      <c r="A30" t="s">
        <v>161</v>
      </c>
      <c r="B30">
        <f>AR21</f>
        <v>1</v>
      </c>
      <c r="C30">
        <f t="shared" ref="C30:G30" si="16">AS21</f>
        <v>0</v>
      </c>
      <c r="D30">
        <f t="shared" si="16"/>
        <v>1</v>
      </c>
      <c r="E30">
        <f t="shared" si="16"/>
        <v>0</v>
      </c>
      <c r="F30">
        <f t="shared" si="16"/>
        <v>1</v>
      </c>
      <c r="G30">
        <f t="shared" si="16"/>
        <v>0</v>
      </c>
      <c r="H30" t="str">
        <f t="shared" si="7"/>
        <v>10</v>
      </c>
      <c r="I30" t="str">
        <f t="shared" si="8"/>
        <v>0101</v>
      </c>
      <c r="J30">
        <f t="shared" si="9"/>
        <v>2</v>
      </c>
      <c r="K30">
        <f t="shared" si="9"/>
        <v>5</v>
      </c>
      <c r="L30">
        <f>VLOOKUP(J30,S8_BOX,K30+2,FALSE)</f>
        <v>12</v>
      </c>
      <c r="M30" t="str">
        <f t="shared" si="10"/>
        <v>1100</v>
      </c>
    </row>
    <row r="31" spans="1:49">
      <c r="A31" t="s">
        <v>162</v>
      </c>
      <c r="B31" t="str">
        <f>CONCATENATE(M23,M24,M25,M26,M27,M28,M29,M30)</f>
        <v>00110101000111000110100100011100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0</v>
      </c>
      <c r="E34" t="str">
        <f t="shared" si="17"/>
        <v>0</v>
      </c>
      <c r="F34" t="str">
        <f t="shared" si="17"/>
        <v>1</v>
      </c>
      <c r="G34" t="str">
        <f>CONCATENATE(C34,D34,E34,F34)</f>
        <v>0001</v>
      </c>
    </row>
    <row r="35" spans="1:33">
      <c r="B35">
        <v>2</v>
      </c>
      <c r="C35" t="str">
        <f t="shared" si="17"/>
        <v>1</v>
      </c>
      <c r="D35" t="str">
        <f t="shared" si="17"/>
        <v>1</v>
      </c>
      <c r="E35" t="str">
        <f t="shared" si="17"/>
        <v>1</v>
      </c>
      <c r="F35" t="str">
        <f t="shared" si="17"/>
        <v>0</v>
      </c>
      <c r="G35" t="str">
        <f t="shared" ref="G35:G41" si="18">CONCATENATE(C35,D35,E35,F35)</f>
        <v>1110</v>
      </c>
    </row>
    <row r="36" spans="1:33">
      <c r="B36">
        <v>3</v>
      </c>
      <c r="C36" t="str">
        <f t="shared" si="17"/>
        <v>0</v>
      </c>
      <c r="D36" t="str">
        <f t="shared" si="17"/>
        <v>0</v>
      </c>
      <c r="E36" t="str">
        <f t="shared" si="17"/>
        <v>0</v>
      </c>
      <c r="F36" t="str">
        <f t="shared" si="17"/>
        <v>0</v>
      </c>
      <c r="G36" t="str">
        <f t="shared" si="18"/>
        <v>0000</v>
      </c>
    </row>
    <row r="37" spans="1:33">
      <c r="B37">
        <v>4</v>
      </c>
      <c r="C37" t="str">
        <f t="shared" si="17"/>
        <v>0</v>
      </c>
      <c r="D37" t="str">
        <f t="shared" si="17"/>
        <v>1</v>
      </c>
      <c r="E37" t="str">
        <f t="shared" si="17"/>
        <v>0</v>
      </c>
      <c r="F37" t="str">
        <f t="shared" si="17"/>
        <v>0</v>
      </c>
      <c r="G37" t="str">
        <f t="shared" si="18"/>
        <v>0100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1</v>
      </c>
      <c r="F38" t="str">
        <f t="shared" si="17"/>
        <v>1</v>
      </c>
      <c r="G38" t="str">
        <f t="shared" si="18"/>
        <v>0111</v>
      </c>
    </row>
    <row r="39" spans="1:33">
      <c r="B39">
        <v>6</v>
      </c>
      <c r="C39" t="str">
        <f t="shared" si="17"/>
        <v>0</v>
      </c>
      <c r="D39" t="str">
        <f t="shared" si="17"/>
        <v>0</v>
      </c>
      <c r="E39" t="str">
        <f t="shared" si="17"/>
        <v>1</v>
      </c>
      <c r="F39" t="str">
        <f t="shared" si="17"/>
        <v>0</v>
      </c>
      <c r="G39" t="str">
        <f t="shared" si="18"/>
        <v>0010</v>
      </c>
    </row>
    <row r="40" spans="1:33">
      <c r="B40">
        <v>7</v>
      </c>
      <c r="C40" t="str">
        <f t="shared" si="17"/>
        <v>1</v>
      </c>
      <c r="D40" t="str">
        <f t="shared" si="17"/>
        <v>1</v>
      </c>
      <c r="E40" t="str">
        <f t="shared" si="17"/>
        <v>1</v>
      </c>
      <c r="F40" t="str">
        <f t="shared" si="17"/>
        <v>1</v>
      </c>
      <c r="G40" t="str">
        <f t="shared" si="18"/>
        <v>1111</v>
      </c>
    </row>
    <row r="41" spans="1:33">
      <c r="B41">
        <v>8</v>
      </c>
      <c r="C41" t="str">
        <f t="shared" si="17"/>
        <v>0</v>
      </c>
      <c r="D41" t="str">
        <f t="shared" si="17"/>
        <v>0</v>
      </c>
      <c r="E41" t="str">
        <f t="shared" si="17"/>
        <v>1</v>
      </c>
      <c r="F41" t="str">
        <f t="shared" si="17"/>
        <v>0</v>
      </c>
      <c r="G41" t="str">
        <f t="shared" si="18"/>
        <v>0010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00011110000001000111001011110010</v>
      </c>
    </row>
    <row r="44" spans="1:33">
      <c r="B44" t="str">
        <f>MID($B$43,B42,1)</f>
        <v>0</v>
      </c>
      <c r="C44" t="str">
        <f t="shared" ref="C44:AG44" si="19">MID($B$43,C42,1)</f>
        <v>0</v>
      </c>
      <c r="D44" t="str">
        <f t="shared" si="19"/>
        <v>0</v>
      </c>
      <c r="E44" t="str">
        <f t="shared" si="19"/>
        <v>1</v>
      </c>
      <c r="F44" t="str">
        <f t="shared" si="19"/>
        <v>1</v>
      </c>
      <c r="G44" t="str">
        <f t="shared" si="19"/>
        <v>1</v>
      </c>
      <c r="H44" t="str">
        <f t="shared" si="19"/>
        <v>1</v>
      </c>
      <c r="I44" t="str">
        <f t="shared" si="19"/>
        <v>0</v>
      </c>
      <c r="J44" t="str">
        <f t="shared" si="19"/>
        <v>0</v>
      </c>
      <c r="K44" t="str">
        <f t="shared" si="19"/>
        <v>0</v>
      </c>
      <c r="L44" t="str">
        <f t="shared" si="19"/>
        <v>0</v>
      </c>
      <c r="M44" t="str">
        <f t="shared" si="19"/>
        <v>0</v>
      </c>
      <c r="N44" t="str">
        <f t="shared" si="19"/>
        <v>0</v>
      </c>
      <c r="O44" t="str">
        <f t="shared" si="19"/>
        <v>1</v>
      </c>
      <c r="P44" t="str">
        <f t="shared" si="19"/>
        <v>0</v>
      </c>
      <c r="Q44" t="str">
        <f t="shared" si="19"/>
        <v>0</v>
      </c>
      <c r="R44" t="str">
        <f t="shared" si="19"/>
        <v>0</v>
      </c>
      <c r="S44" t="str">
        <f t="shared" si="19"/>
        <v>1</v>
      </c>
      <c r="T44" t="str">
        <f t="shared" si="19"/>
        <v>1</v>
      </c>
      <c r="U44" t="str">
        <f t="shared" si="19"/>
        <v>1</v>
      </c>
      <c r="V44" t="str">
        <f t="shared" si="19"/>
        <v>0</v>
      </c>
      <c r="W44" t="str">
        <f t="shared" si="19"/>
        <v>0</v>
      </c>
      <c r="X44" t="str">
        <f t="shared" si="19"/>
        <v>1</v>
      </c>
      <c r="Y44" t="str">
        <f t="shared" si="19"/>
        <v>0</v>
      </c>
      <c r="Z44" t="str">
        <f t="shared" si="19"/>
        <v>1</v>
      </c>
      <c r="AA44" t="str">
        <f t="shared" si="19"/>
        <v>1</v>
      </c>
      <c r="AB44" t="str">
        <f t="shared" si="19"/>
        <v>1</v>
      </c>
      <c r="AC44" t="str">
        <f t="shared" si="19"/>
        <v>1</v>
      </c>
      <c r="AD44" t="str">
        <f t="shared" si="19"/>
        <v>0</v>
      </c>
      <c r="AE44" t="str">
        <f t="shared" si="19"/>
        <v>0</v>
      </c>
      <c r="AF44" t="str">
        <f t="shared" si="19"/>
        <v>1</v>
      </c>
      <c r="AG44" t="str">
        <f t="shared" si="19"/>
        <v>0</v>
      </c>
    </row>
    <row r="45" spans="1:33">
      <c r="A45" t="str">
        <f>CONCATENATE("L",C4-1)</f>
        <v>L7</v>
      </c>
      <c r="B45" s="8" t="str">
        <f>'R7'!C6</f>
        <v>00101110100011111001110001100101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0</v>
      </c>
      <c r="F46" t="str">
        <f t="shared" si="20"/>
        <v>1</v>
      </c>
      <c r="G46" t="str">
        <f t="shared" si="20"/>
        <v>1</v>
      </c>
      <c r="H46" t="str">
        <f t="shared" si="20"/>
        <v>1</v>
      </c>
      <c r="I46" t="str">
        <f t="shared" si="20"/>
        <v>0</v>
      </c>
      <c r="J46" t="str">
        <f t="shared" si="20"/>
        <v>1</v>
      </c>
      <c r="K46" t="str">
        <f t="shared" si="20"/>
        <v>0</v>
      </c>
      <c r="L46" t="str">
        <f t="shared" si="20"/>
        <v>0</v>
      </c>
      <c r="M46" t="str">
        <f t="shared" si="20"/>
        <v>0</v>
      </c>
      <c r="N46" t="str">
        <f t="shared" si="20"/>
        <v>1</v>
      </c>
      <c r="O46" t="str">
        <f t="shared" si="20"/>
        <v>1</v>
      </c>
      <c r="P46" t="str">
        <f t="shared" si="20"/>
        <v>1</v>
      </c>
      <c r="Q46" t="str">
        <f t="shared" si="20"/>
        <v>1</v>
      </c>
      <c r="R46" t="str">
        <f t="shared" si="20"/>
        <v>1</v>
      </c>
      <c r="S46" t="str">
        <f t="shared" si="20"/>
        <v>0</v>
      </c>
      <c r="T46" t="str">
        <f t="shared" si="20"/>
        <v>0</v>
      </c>
      <c r="U46" t="str">
        <f t="shared" si="20"/>
        <v>1</v>
      </c>
      <c r="V46" t="str">
        <f t="shared" si="20"/>
        <v>1</v>
      </c>
      <c r="W46" t="str">
        <f t="shared" si="20"/>
        <v>1</v>
      </c>
      <c r="X46" t="str">
        <f t="shared" si="20"/>
        <v>0</v>
      </c>
      <c r="Y46" t="str">
        <f t="shared" si="20"/>
        <v>0</v>
      </c>
      <c r="Z46" t="str">
        <f t="shared" si="20"/>
        <v>0</v>
      </c>
      <c r="AA46" t="str">
        <f t="shared" si="20"/>
        <v>1</v>
      </c>
      <c r="AB46" t="str">
        <f t="shared" si="20"/>
        <v>1</v>
      </c>
      <c r="AC46" t="str">
        <f t="shared" si="20"/>
        <v>0</v>
      </c>
      <c r="AD46" t="str">
        <f t="shared" si="20"/>
        <v>0</v>
      </c>
      <c r="AE46" t="str">
        <f t="shared" si="20"/>
        <v>1</v>
      </c>
      <c r="AF46" t="str">
        <f t="shared" si="20"/>
        <v>0</v>
      </c>
      <c r="AG46" t="str">
        <f t="shared" si="20"/>
        <v>1</v>
      </c>
    </row>
    <row r="47" spans="1:33">
      <c r="A47" t="str">
        <f>CONCATENATE("R",C4)</f>
        <v>R8</v>
      </c>
      <c r="B47">
        <f>IF(B44=B46,0,1)</f>
        <v>0</v>
      </c>
      <c r="C47">
        <f t="shared" ref="C47:AG47" si="21">IF(C44=C46,0,1)</f>
        <v>0</v>
      </c>
      <c r="D47">
        <f t="shared" si="21"/>
        <v>1</v>
      </c>
      <c r="E47">
        <f t="shared" si="21"/>
        <v>1</v>
      </c>
      <c r="F47">
        <f t="shared" si="21"/>
        <v>0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1</v>
      </c>
      <c r="K47">
        <f t="shared" si="21"/>
        <v>0</v>
      </c>
      <c r="L47">
        <f t="shared" si="21"/>
        <v>0</v>
      </c>
      <c r="M47">
        <f t="shared" si="21"/>
        <v>0</v>
      </c>
      <c r="N47">
        <f t="shared" si="21"/>
        <v>1</v>
      </c>
      <c r="O47">
        <f t="shared" si="21"/>
        <v>0</v>
      </c>
      <c r="P47">
        <f t="shared" si="21"/>
        <v>1</v>
      </c>
      <c r="Q47">
        <f t="shared" si="21"/>
        <v>1</v>
      </c>
      <c r="R47">
        <f t="shared" si="21"/>
        <v>1</v>
      </c>
      <c r="S47">
        <f t="shared" si="21"/>
        <v>1</v>
      </c>
      <c r="T47">
        <f t="shared" si="21"/>
        <v>1</v>
      </c>
      <c r="U47">
        <f t="shared" si="21"/>
        <v>0</v>
      </c>
      <c r="V47">
        <f t="shared" si="21"/>
        <v>1</v>
      </c>
      <c r="W47">
        <f t="shared" si="21"/>
        <v>1</v>
      </c>
      <c r="X47">
        <f t="shared" si="21"/>
        <v>1</v>
      </c>
      <c r="Y47">
        <f t="shared" si="21"/>
        <v>0</v>
      </c>
      <c r="Z47">
        <f t="shared" si="21"/>
        <v>1</v>
      </c>
      <c r="AA47">
        <f t="shared" si="21"/>
        <v>0</v>
      </c>
      <c r="AB47">
        <f t="shared" si="21"/>
        <v>0</v>
      </c>
      <c r="AC47">
        <f t="shared" si="21"/>
        <v>1</v>
      </c>
      <c r="AD47">
        <f t="shared" si="21"/>
        <v>0</v>
      </c>
      <c r="AE47">
        <f t="shared" si="21"/>
        <v>1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0011</v>
      </c>
      <c r="F48" t="str">
        <f>CONCATENATE(F47,G47,H47,I47)</f>
        <v>0000</v>
      </c>
      <c r="J48" t="str">
        <f>CONCATENATE(J47,K47,L47,M47)</f>
        <v>1000</v>
      </c>
      <c r="N48" t="str">
        <f>CONCATENATE(N47,O47,P47,Q47)</f>
        <v>1011</v>
      </c>
      <c r="R48" t="str">
        <f>CONCATENATE(R47,S47,T47,U47)</f>
        <v>1110</v>
      </c>
      <c r="V48" t="str">
        <f>CONCATENATE(V47,W47,X47,Y47)</f>
        <v>1110</v>
      </c>
      <c r="Z48" t="str">
        <f>CONCATENATE(Z47,AA47,AB47,AC47)</f>
        <v>1001</v>
      </c>
      <c r="AD48" t="str">
        <f>CONCATENATE(AD47,AE47,AF47,AG47)</f>
        <v>0111</v>
      </c>
    </row>
    <row r="49" spans="1:2">
      <c r="A49" t="str">
        <f>A47</f>
        <v>R8</v>
      </c>
      <c r="B49" t="str">
        <f>CONCATENATE(B48,F48,J48,N48,R48,V48,Z48,AD48)</f>
        <v>00110000100010111110111010010111</v>
      </c>
    </row>
    <row r="50" spans="1:2">
      <c r="A50" t="str">
        <f>CONCATENATE(A49," hex")</f>
        <v>R8 hex</v>
      </c>
      <c r="B50" t="str">
        <f>CONCATENATE(BIN2HEX(B48),BIN2HEX(F48),BIN2HEX(J48),BIN2HEX(N48),BIN2HEX(R48),BIN2HEX(V48),BIN2HEX(Z48),BIN2HEX(AD48))</f>
        <v>308BEE97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50"/>
  <sheetViews>
    <sheetView topLeftCell="A40" workbookViewId="0">
      <selection activeCell="A40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9</v>
      </c>
    </row>
    <row r="5" spans="1:13">
      <c r="A5" t="str">
        <f>CONCATENATE("K",C4)</f>
        <v>K9</v>
      </c>
      <c r="C5" s="8" t="str">
        <f>Kn!O10</f>
        <v>100001001011101101000100011100111101110011001100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L9   =</v>
      </c>
      <c r="B6" t="str">
        <f>CONCATENATE("R",(C4-1))</f>
        <v>R8</v>
      </c>
      <c r="C6" s="8" t="str">
        <f>'R8'!B49</f>
        <v>00110000100010111110111010010111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E(R8)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0</v>
      </c>
      <c r="E8" s="1" t="str">
        <f t="shared" si="0"/>
        <v>0</v>
      </c>
      <c r="F8" s="1" t="str">
        <f t="shared" si="0"/>
        <v>1</v>
      </c>
      <c r="G8" s="1" t="str">
        <f t="shared" si="0"/>
        <v>1</v>
      </c>
      <c r="H8" s="1" t="str">
        <f t="shared" si="0"/>
        <v>0</v>
      </c>
      <c r="I8" s="6" t="str">
        <f>CONCATENATE(C8,D8,E8,F8,G8,H8)</f>
        <v>100110</v>
      </c>
    </row>
    <row r="9" spans="1:13">
      <c r="B9">
        <v>2</v>
      </c>
      <c r="C9" s="1" t="str">
        <f t="shared" si="0"/>
        <v>1</v>
      </c>
      <c r="D9" s="1" t="str">
        <f t="shared" si="0"/>
        <v>0</v>
      </c>
      <c r="E9" s="1" t="str">
        <f t="shared" si="0"/>
        <v>0</v>
      </c>
      <c r="F9" s="1" t="str">
        <f t="shared" si="0"/>
        <v>0</v>
      </c>
      <c r="G9" s="1" t="str">
        <f t="shared" si="0"/>
        <v>0</v>
      </c>
      <c r="H9" s="1" t="str">
        <f t="shared" si="0"/>
        <v>1</v>
      </c>
      <c r="I9" s="6" t="str">
        <f t="shared" ref="I9:I15" si="1">CONCATENATE(C9,D9,E9,F9,G9,H9)</f>
        <v>100001</v>
      </c>
    </row>
    <row r="10" spans="1:13">
      <c r="B10">
        <v>3</v>
      </c>
      <c r="C10" s="1" t="str">
        <f t="shared" si="0"/>
        <v>0</v>
      </c>
      <c r="D10" s="1" t="str">
        <f t="shared" si="0"/>
        <v>1</v>
      </c>
      <c r="E10" s="1" t="str">
        <f t="shared" si="0"/>
        <v>0</v>
      </c>
      <c r="F10" s="1" t="str">
        <f t="shared" si="0"/>
        <v>0</v>
      </c>
      <c r="G10" s="1" t="str">
        <f t="shared" si="0"/>
        <v>0</v>
      </c>
      <c r="H10" s="1" t="str">
        <f t="shared" si="0"/>
        <v>1</v>
      </c>
      <c r="I10" s="6" t="str">
        <f t="shared" si="1"/>
        <v>010001</v>
      </c>
    </row>
    <row r="11" spans="1:13">
      <c r="B11">
        <v>4</v>
      </c>
      <c r="C11" s="1" t="str">
        <f t="shared" si="0"/>
        <v>0</v>
      </c>
      <c r="D11" s="1" t="str">
        <f t="shared" si="0"/>
        <v>1</v>
      </c>
      <c r="E11" s="1" t="str">
        <f t="shared" si="0"/>
        <v>0</v>
      </c>
      <c r="F11" s="1" t="str">
        <f t="shared" si="0"/>
        <v>1</v>
      </c>
      <c r="G11" s="1" t="str">
        <f t="shared" si="0"/>
        <v>1</v>
      </c>
      <c r="H11" s="1" t="str">
        <f t="shared" si="0"/>
        <v>1</v>
      </c>
      <c r="I11" s="6" t="str">
        <f t="shared" si="1"/>
        <v>010111</v>
      </c>
    </row>
    <row r="12" spans="1:13">
      <c r="B12">
        <v>5</v>
      </c>
      <c r="C12" s="1" t="str">
        <f t="shared" si="0"/>
        <v>1</v>
      </c>
      <c r="D12" s="1" t="str">
        <f t="shared" si="0"/>
        <v>1</v>
      </c>
      <c r="E12" s="1" t="str">
        <f t="shared" si="0"/>
        <v>1</v>
      </c>
      <c r="F12" s="1" t="str">
        <f t="shared" si="0"/>
        <v>1</v>
      </c>
      <c r="G12" s="1" t="str">
        <f t="shared" si="0"/>
        <v>0</v>
      </c>
      <c r="H12" s="1" t="str">
        <f t="shared" si="0"/>
        <v>1</v>
      </c>
      <c r="I12" s="6" t="str">
        <f t="shared" si="1"/>
        <v>111101</v>
      </c>
    </row>
    <row r="13" spans="1:13">
      <c r="B13">
        <v>6</v>
      </c>
      <c r="C13" s="1" t="str">
        <f t="shared" si="0"/>
        <v>0</v>
      </c>
      <c r="D13" s="1" t="str">
        <f t="shared" si="0"/>
        <v>1</v>
      </c>
      <c r="E13" s="1" t="str">
        <f t="shared" si="0"/>
        <v>1</v>
      </c>
      <c r="F13" s="1" t="str">
        <f t="shared" si="0"/>
        <v>1</v>
      </c>
      <c r="G13" s="1" t="str">
        <f t="shared" si="0"/>
        <v>0</v>
      </c>
      <c r="H13" s="1" t="str">
        <f t="shared" si="0"/>
        <v>1</v>
      </c>
      <c r="I13" s="6" t="str">
        <f t="shared" si="1"/>
        <v>011101</v>
      </c>
    </row>
    <row r="14" spans="1:13">
      <c r="B14">
        <v>7</v>
      </c>
      <c r="C14" s="1" t="str">
        <f t="shared" si="0"/>
        <v>0</v>
      </c>
      <c r="D14" s="1" t="str">
        <f t="shared" si="0"/>
        <v>1</v>
      </c>
      <c r="E14" s="1" t="str">
        <f t="shared" si="0"/>
        <v>0</v>
      </c>
      <c r="F14" s="1" t="str">
        <f t="shared" si="0"/>
        <v>0</v>
      </c>
      <c r="G14" s="1" t="str">
        <f t="shared" si="0"/>
        <v>1</v>
      </c>
      <c r="H14" s="1" t="str">
        <f t="shared" si="0"/>
        <v>0</v>
      </c>
      <c r="I14" s="6" t="str">
        <f t="shared" si="1"/>
        <v>010010</v>
      </c>
    </row>
    <row r="15" spans="1:13">
      <c r="B15">
        <v>8</v>
      </c>
      <c r="C15" s="1" t="str">
        <f t="shared" si="0"/>
        <v>1</v>
      </c>
      <c r="D15" s="1" t="str">
        <f t="shared" si="0"/>
        <v>0</v>
      </c>
      <c r="E15" s="1" t="str">
        <f t="shared" si="0"/>
        <v>1</v>
      </c>
      <c r="F15" s="1" t="str">
        <f t="shared" si="0"/>
        <v>1</v>
      </c>
      <c r="G15" s="1" t="str">
        <f t="shared" si="0"/>
        <v>1</v>
      </c>
      <c r="H15" s="1" t="str">
        <f t="shared" si="0"/>
        <v>0</v>
      </c>
      <c r="I15" s="6" t="str">
        <f t="shared" si="1"/>
        <v>101110</v>
      </c>
    </row>
    <row r="16" spans="1:13">
      <c r="A16" t="str">
        <f>A8</f>
        <v>E(R8)</v>
      </c>
      <c r="B16" t="str">
        <f>CONCATENATE(I8,I9,I10,I11,I12,I13,I14,I15)</f>
        <v>100110100001010001010111111101011101010010101110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K9</v>
      </c>
      <c r="B19" t="str">
        <f>MID($C$5,B18,1)</f>
        <v>1</v>
      </c>
      <c r="C19" t="str">
        <f t="shared" ref="C19:AW19" si="2">MID($C$5,C18,1)</f>
        <v>0</v>
      </c>
      <c r="D19" t="str">
        <f t="shared" si="2"/>
        <v>0</v>
      </c>
      <c r="E19" t="str">
        <f t="shared" si="2"/>
        <v>0</v>
      </c>
      <c r="F19" t="str">
        <f t="shared" si="2"/>
        <v>0</v>
      </c>
      <c r="G19" t="str">
        <f t="shared" si="2"/>
        <v>1</v>
      </c>
      <c r="H19" t="str">
        <f t="shared" si="2"/>
        <v>0</v>
      </c>
      <c r="I19" t="str">
        <f t="shared" si="2"/>
        <v>0</v>
      </c>
      <c r="J19" t="str">
        <f t="shared" si="2"/>
        <v>1</v>
      </c>
      <c r="K19" t="str">
        <f t="shared" si="2"/>
        <v>0</v>
      </c>
      <c r="L19" t="str">
        <f t="shared" si="2"/>
        <v>1</v>
      </c>
      <c r="M19" t="str">
        <f t="shared" si="2"/>
        <v>1</v>
      </c>
      <c r="N19" t="str">
        <f t="shared" si="2"/>
        <v>1</v>
      </c>
      <c r="O19" t="str">
        <f t="shared" si="2"/>
        <v>0</v>
      </c>
      <c r="P19" t="str">
        <f t="shared" si="2"/>
        <v>1</v>
      </c>
      <c r="Q19" t="str">
        <f t="shared" si="2"/>
        <v>1</v>
      </c>
      <c r="R19" t="str">
        <f t="shared" si="2"/>
        <v>0</v>
      </c>
      <c r="S19" t="str">
        <f t="shared" si="2"/>
        <v>1</v>
      </c>
      <c r="T19" t="str">
        <f t="shared" si="2"/>
        <v>0</v>
      </c>
      <c r="U19" t="str">
        <f t="shared" si="2"/>
        <v>0</v>
      </c>
      <c r="V19" t="str">
        <f t="shared" si="2"/>
        <v>0</v>
      </c>
      <c r="W19" t="str">
        <f t="shared" si="2"/>
        <v>1</v>
      </c>
      <c r="X19" t="str">
        <f t="shared" si="2"/>
        <v>0</v>
      </c>
      <c r="Y19" t="str">
        <f t="shared" si="2"/>
        <v>0</v>
      </c>
      <c r="Z19" t="str">
        <f t="shared" si="2"/>
        <v>0</v>
      </c>
      <c r="AA19" t="str">
        <f t="shared" si="2"/>
        <v>1</v>
      </c>
      <c r="AB19" t="str">
        <f t="shared" si="2"/>
        <v>1</v>
      </c>
      <c r="AC19" t="str">
        <f t="shared" si="2"/>
        <v>1</v>
      </c>
      <c r="AD19" t="str">
        <f t="shared" si="2"/>
        <v>0</v>
      </c>
      <c r="AE19" t="str">
        <f t="shared" si="2"/>
        <v>0</v>
      </c>
      <c r="AF19" t="str">
        <f t="shared" si="2"/>
        <v>1</v>
      </c>
      <c r="AG19" t="str">
        <f t="shared" si="2"/>
        <v>1</v>
      </c>
      <c r="AH19" t="str">
        <f t="shared" si="2"/>
        <v>1</v>
      </c>
      <c r="AI19" t="str">
        <f t="shared" si="2"/>
        <v>1</v>
      </c>
      <c r="AJ19" t="str">
        <f t="shared" si="2"/>
        <v>0</v>
      </c>
      <c r="AK19" t="str">
        <f t="shared" si="2"/>
        <v>1</v>
      </c>
      <c r="AL19" t="str">
        <f t="shared" si="2"/>
        <v>1</v>
      </c>
      <c r="AM19" t="str">
        <f t="shared" si="2"/>
        <v>1</v>
      </c>
      <c r="AN19" t="str">
        <f t="shared" si="2"/>
        <v>0</v>
      </c>
      <c r="AO19" t="str">
        <f t="shared" si="2"/>
        <v>0</v>
      </c>
      <c r="AP19" t="str">
        <f t="shared" si="2"/>
        <v>1</v>
      </c>
      <c r="AQ19" t="str">
        <f t="shared" si="2"/>
        <v>1</v>
      </c>
      <c r="AR19" t="str">
        <f t="shared" si="2"/>
        <v>0</v>
      </c>
      <c r="AS19" t="str">
        <f t="shared" si="2"/>
        <v>0</v>
      </c>
      <c r="AT19" t="str">
        <f t="shared" si="2"/>
        <v>1</v>
      </c>
      <c r="AU19" t="str">
        <f t="shared" si="2"/>
        <v>1</v>
      </c>
      <c r="AV19" t="str">
        <f t="shared" si="2"/>
        <v>0</v>
      </c>
      <c r="AW19" t="str">
        <f t="shared" si="2"/>
        <v>0</v>
      </c>
    </row>
    <row r="20" spans="1:49">
      <c r="A20" t="str">
        <f>A16</f>
        <v>E(R8)</v>
      </c>
      <c r="B20" t="str">
        <f>MID($B$16,B18,1)</f>
        <v>1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1</v>
      </c>
      <c r="F20" t="str">
        <f t="shared" si="3"/>
        <v>1</v>
      </c>
      <c r="G20" t="str">
        <f t="shared" si="3"/>
        <v>0</v>
      </c>
      <c r="H20" t="str">
        <f t="shared" si="3"/>
        <v>1</v>
      </c>
      <c r="I20" t="str">
        <f t="shared" si="3"/>
        <v>0</v>
      </c>
      <c r="J20" t="str">
        <f t="shared" si="3"/>
        <v>0</v>
      </c>
      <c r="K20" t="str">
        <f t="shared" si="3"/>
        <v>0</v>
      </c>
      <c r="L20" t="str">
        <f t="shared" si="3"/>
        <v>0</v>
      </c>
      <c r="M20" t="str">
        <f t="shared" si="3"/>
        <v>1</v>
      </c>
      <c r="N20" t="str">
        <f t="shared" si="3"/>
        <v>0</v>
      </c>
      <c r="O20" t="str">
        <f t="shared" si="3"/>
        <v>1</v>
      </c>
      <c r="P20" t="str">
        <f t="shared" si="3"/>
        <v>0</v>
      </c>
      <c r="Q20" t="str">
        <f t="shared" si="3"/>
        <v>0</v>
      </c>
      <c r="R20" t="str">
        <f t="shared" si="3"/>
        <v>0</v>
      </c>
      <c r="S20" t="str">
        <f t="shared" si="3"/>
        <v>1</v>
      </c>
      <c r="T20" t="str">
        <f t="shared" si="3"/>
        <v>0</v>
      </c>
      <c r="U20" t="str">
        <f t="shared" si="3"/>
        <v>1</v>
      </c>
      <c r="V20" t="str">
        <f t="shared" si="3"/>
        <v>0</v>
      </c>
      <c r="W20" t="str">
        <f t="shared" si="3"/>
        <v>1</v>
      </c>
      <c r="X20" t="str">
        <f t="shared" si="3"/>
        <v>1</v>
      </c>
      <c r="Y20" t="str">
        <f t="shared" si="3"/>
        <v>1</v>
      </c>
      <c r="Z20" t="str">
        <f t="shared" si="3"/>
        <v>1</v>
      </c>
      <c r="AA20" t="str">
        <f t="shared" si="3"/>
        <v>1</v>
      </c>
      <c r="AB20" t="str">
        <f t="shared" si="3"/>
        <v>1</v>
      </c>
      <c r="AC20" t="str">
        <f t="shared" si="3"/>
        <v>1</v>
      </c>
      <c r="AD20" t="str">
        <f t="shared" si="3"/>
        <v>0</v>
      </c>
      <c r="AE20" t="str">
        <f t="shared" si="3"/>
        <v>1</v>
      </c>
      <c r="AF20" t="str">
        <f t="shared" si="3"/>
        <v>0</v>
      </c>
      <c r="AG20" t="str">
        <f t="shared" si="3"/>
        <v>1</v>
      </c>
      <c r="AH20" t="str">
        <f t="shared" si="3"/>
        <v>1</v>
      </c>
      <c r="AI20" t="str">
        <f t="shared" si="3"/>
        <v>1</v>
      </c>
      <c r="AJ20" t="str">
        <f t="shared" si="3"/>
        <v>0</v>
      </c>
      <c r="AK20" t="str">
        <f t="shared" si="3"/>
        <v>1</v>
      </c>
      <c r="AL20" t="str">
        <f t="shared" si="3"/>
        <v>0</v>
      </c>
      <c r="AM20" t="str">
        <f t="shared" si="3"/>
        <v>1</v>
      </c>
      <c r="AN20" t="str">
        <f t="shared" si="3"/>
        <v>0</v>
      </c>
      <c r="AO20" t="str">
        <f t="shared" si="3"/>
        <v>0</v>
      </c>
      <c r="AP20" t="str">
        <f t="shared" si="3"/>
        <v>1</v>
      </c>
      <c r="AQ20" t="str">
        <f t="shared" si="3"/>
        <v>0</v>
      </c>
      <c r="AR20" t="str">
        <f t="shared" si="3"/>
        <v>1</v>
      </c>
      <c r="AS20" t="str">
        <f t="shared" si="3"/>
        <v>0</v>
      </c>
      <c r="AT20" t="str">
        <f t="shared" si="3"/>
        <v>1</v>
      </c>
      <c r="AU20" t="str">
        <f t="shared" si="3"/>
        <v>1</v>
      </c>
      <c r="AV20" t="str">
        <f t="shared" si="3"/>
        <v>1</v>
      </c>
      <c r="AW20" t="str">
        <f t="shared" si="3"/>
        <v>0</v>
      </c>
    </row>
    <row r="21" spans="1:49">
      <c r="A21" s="6" t="str">
        <f>CONCATENATE(A19," + ",A20)</f>
        <v>K9 + E(R8)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0</v>
      </c>
      <c r="E21" s="1">
        <f t="shared" si="4"/>
        <v>1</v>
      </c>
      <c r="F21" s="1">
        <f t="shared" si="4"/>
        <v>1</v>
      </c>
      <c r="G21" s="1">
        <f t="shared" si="4"/>
        <v>1</v>
      </c>
      <c r="H21" s="1">
        <f t="shared" si="4"/>
        <v>1</v>
      </c>
      <c r="I21" s="1">
        <f t="shared" si="4"/>
        <v>0</v>
      </c>
      <c r="J21" s="1">
        <f t="shared" si="4"/>
        <v>1</v>
      </c>
      <c r="K21" s="1">
        <f t="shared" si="4"/>
        <v>0</v>
      </c>
      <c r="L21" s="1">
        <f t="shared" si="4"/>
        <v>1</v>
      </c>
      <c r="M21" s="1">
        <f t="shared" si="4"/>
        <v>0</v>
      </c>
      <c r="N21" s="1">
        <f t="shared" si="4"/>
        <v>1</v>
      </c>
      <c r="O21" s="1">
        <f t="shared" si="4"/>
        <v>1</v>
      </c>
      <c r="P21" s="1">
        <f t="shared" si="4"/>
        <v>1</v>
      </c>
      <c r="Q21" s="1">
        <f t="shared" si="4"/>
        <v>1</v>
      </c>
      <c r="R21" s="1">
        <f t="shared" si="4"/>
        <v>0</v>
      </c>
      <c r="S21" s="1">
        <f t="shared" si="4"/>
        <v>0</v>
      </c>
      <c r="T21" s="1">
        <f t="shared" si="4"/>
        <v>0</v>
      </c>
      <c r="U21" s="1">
        <f t="shared" si="4"/>
        <v>1</v>
      </c>
      <c r="V21" s="1">
        <f t="shared" si="4"/>
        <v>0</v>
      </c>
      <c r="W21" s="1">
        <f t="shared" si="4"/>
        <v>0</v>
      </c>
      <c r="X21" s="1">
        <f t="shared" si="4"/>
        <v>1</v>
      </c>
      <c r="Y21" s="1">
        <f t="shared" si="4"/>
        <v>1</v>
      </c>
      <c r="Z21" s="1">
        <f t="shared" si="4"/>
        <v>1</v>
      </c>
      <c r="AA21" s="1">
        <f t="shared" si="4"/>
        <v>0</v>
      </c>
      <c r="AB21" s="1">
        <f t="shared" si="4"/>
        <v>0</v>
      </c>
      <c r="AC21" s="1">
        <f t="shared" si="4"/>
        <v>0</v>
      </c>
      <c r="AD21" s="1">
        <f t="shared" si="4"/>
        <v>0</v>
      </c>
      <c r="AE21" s="1">
        <f t="shared" si="4"/>
        <v>1</v>
      </c>
      <c r="AF21" s="1">
        <f t="shared" si="4"/>
        <v>1</v>
      </c>
      <c r="AG21" s="1">
        <f t="shared" si="4"/>
        <v>0</v>
      </c>
      <c r="AH21" s="1">
        <f t="shared" si="4"/>
        <v>0</v>
      </c>
      <c r="AI21" s="1">
        <f t="shared" si="4"/>
        <v>0</v>
      </c>
      <c r="AJ21" s="1">
        <f t="shared" si="4"/>
        <v>0</v>
      </c>
      <c r="AK21" s="1">
        <f t="shared" si="4"/>
        <v>0</v>
      </c>
      <c r="AL21" s="1">
        <f t="shared" si="4"/>
        <v>1</v>
      </c>
      <c r="AM21" s="1">
        <f t="shared" si="4"/>
        <v>0</v>
      </c>
      <c r="AN21" s="1">
        <f t="shared" si="4"/>
        <v>0</v>
      </c>
      <c r="AO21" s="1">
        <f t="shared" si="4"/>
        <v>0</v>
      </c>
      <c r="AP21" s="1">
        <f t="shared" si="4"/>
        <v>0</v>
      </c>
      <c r="AQ21" s="1">
        <f t="shared" si="4"/>
        <v>1</v>
      </c>
      <c r="AR21" s="1">
        <f t="shared" si="4"/>
        <v>1</v>
      </c>
      <c r="AS21" s="1">
        <f t="shared" si="4"/>
        <v>0</v>
      </c>
      <c r="AT21" s="1">
        <f t="shared" si="4"/>
        <v>0</v>
      </c>
      <c r="AU21" s="1">
        <f t="shared" si="4"/>
        <v>0</v>
      </c>
      <c r="AV21" s="1">
        <f t="shared" si="4"/>
        <v>1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0</v>
      </c>
      <c r="E23">
        <f t="shared" si="5"/>
        <v>1</v>
      </c>
      <c r="F23">
        <f t="shared" si="5"/>
        <v>1</v>
      </c>
      <c r="G23">
        <f t="shared" si="5"/>
        <v>1</v>
      </c>
      <c r="H23" t="str">
        <f>CONCATENATE(B23,G23)</f>
        <v>01</v>
      </c>
      <c r="I23" t="str">
        <f>CONCATENATE(C23,D23,E23,F23)</f>
        <v>0011</v>
      </c>
      <c r="J23">
        <f>BIN2DEC(H23)</f>
        <v>1</v>
      </c>
      <c r="K23">
        <f>BIN2DEC(I23)</f>
        <v>3</v>
      </c>
      <c r="L23">
        <f>VLOOKUP(J23,S1_BOX,K23+2,FALSE)</f>
        <v>4</v>
      </c>
      <c r="M23" t="str">
        <f>DEC2BIN(L23,4)</f>
        <v>0100</v>
      </c>
    </row>
    <row r="24" spans="1:49">
      <c r="A24" t="s">
        <v>155</v>
      </c>
      <c r="B24">
        <f>H21</f>
        <v>1</v>
      </c>
      <c r="C24">
        <f t="shared" ref="C24:G24" si="6">I21</f>
        <v>0</v>
      </c>
      <c r="D24">
        <f t="shared" si="6"/>
        <v>1</v>
      </c>
      <c r="E24">
        <f t="shared" si="6"/>
        <v>0</v>
      </c>
      <c r="F24">
        <f t="shared" si="6"/>
        <v>1</v>
      </c>
      <c r="G24">
        <f t="shared" si="6"/>
        <v>0</v>
      </c>
      <c r="H24" t="str">
        <f t="shared" ref="H24:H30" si="7">CONCATENATE(B24,G24)</f>
        <v>10</v>
      </c>
      <c r="I24" t="str">
        <f t="shared" ref="I24:I30" si="8">CONCATENATE(C24,D24,E24,F24)</f>
        <v>0101</v>
      </c>
      <c r="J24">
        <f t="shared" ref="J24:K30" si="9">BIN2DEC(H24)</f>
        <v>2</v>
      </c>
      <c r="K24">
        <f t="shared" si="9"/>
        <v>5</v>
      </c>
      <c r="L24">
        <f>VLOOKUP(J24,S2_BOX,K24+2,FALSE)</f>
        <v>4</v>
      </c>
      <c r="M24" t="str">
        <f t="shared" ref="M24:M30" si="10">DEC2BIN(L24,4)</f>
        <v>0100</v>
      </c>
    </row>
    <row r="25" spans="1:49">
      <c r="A25" t="s">
        <v>156</v>
      </c>
      <c r="B25">
        <f>N21</f>
        <v>1</v>
      </c>
      <c r="C25">
        <f t="shared" ref="C25:G25" si="11">O21</f>
        <v>1</v>
      </c>
      <c r="D25">
        <f t="shared" si="11"/>
        <v>1</v>
      </c>
      <c r="E25">
        <f t="shared" si="11"/>
        <v>1</v>
      </c>
      <c r="F25">
        <f t="shared" si="11"/>
        <v>0</v>
      </c>
      <c r="G25">
        <f t="shared" si="11"/>
        <v>0</v>
      </c>
      <c r="H25" t="str">
        <f t="shared" si="7"/>
        <v>10</v>
      </c>
      <c r="I25" t="str">
        <f t="shared" si="8"/>
        <v>1110</v>
      </c>
      <c r="J25">
        <f t="shared" si="9"/>
        <v>2</v>
      </c>
      <c r="K25">
        <f t="shared" si="9"/>
        <v>14</v>
      </c>
      <c r="L25">
        <f>VLOOKUP(J25,S3_BOX,K25+2,FALSE)</f>
        <v>14</v>
      </c>
      <c r="M25" t="str">
        <f t="shared" si="10"/>
        <v>1110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0</v>
      </c>
      <c r="E26">
        <f t="shared" si="12"/>
        <v>0</v>
      </c>
      <c r="F26">
        <f t="shared" si="12"/>
        <v>1</v>
      </c>
      <c r="G26">
        <f t="shared" si="12"/>
        <v>1</v>
      </c>
      <c r="H26" t="str">
        <f t="shared" si="7"/>
        <v>01</v>
      </c>
      <c r="I26" t="str">
        <f t="shared" si="8"/>
        <v>1001</v>
      </c>
      <c r="J26">
        <f t="shared" si="9"/>
        <v>1</v>
      </c>
      <c r="K26">
        <f t="shared" si="9"/>
        <v>9</v>
      </c>
      <c r="L26">
        <f>VLOOKUP(J26,S4_BOX,K26+2,FALSE)</f>
        <v>7</v>
      </c>
      <c r="M26" t="str">
        <f t="shared" si="10"/>
        <v>0111</v>
      </c>
    </row>
    <row r="27" spans="1:49">
      <c r="A27" t="s">
        <v>158</v>
      </c>
      <c r="B27">
        <f>Z21</f>
        <v>1</v>
      </c>
      <c r="C27">
        <f t="shared" ref="C27:G27" si="13">AA21</f>
        <v>0</v>
      </c>
      <c r="D27">
        <f t="shared" si="13"/>
        <v>0</v>
      </c>
      <c r="E27">
        <f t="shared" si="13"/>
        <v>0</v>
      </c>
      <c r="F27">
        <f t="shared" si="13"/>
        <v>0</v>
      </c>
      <c r="G27">
        <f t="shared" si="13"/>
        <v>1</v>
      </c>
      <c r="H27" t="str">
        <f t="shared" si="7"/>
        <v>11</v>
      </c>
      <c r="I27" t="str">
        <f t="shared" si="8"/>
        <v>0000</v>
      </c>
      <c r="J27">
        <f t="shared" si="9"/>
        <v>3</v>
      </c>
      <c r="K27">
        <f t="shared" si="9"/>
        <v>0</v>
      </c>
      <c r="L27">
        <f>VLOOKUP(J27,S5_BOX,K27+2,FALSE)</f>
        <v>11</v>
      </c>
      <c r="M27" t="str">
        <f t="shared" si="10"/>
        <v>1011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0</v>
      </c>
      <c r="E28">
        <f t="shared" si="14"/>
        <v>0</v>
      </c>
      <c r="F28">
        <f t="shared" si="14"/>
        <v>0</v>
      </c>
      <c r="G28">
        <f t="shared" si="14"/>
        <v>0</v>
      </c>
      <c r="H28" t="str">
        <f t="shared" si="7"/>
        <v>10</v>
      </c>
      <c r="I28" t="str">
        <f t="shared" si="8"/>
        <v>0000</v>
      </c>
      <c r="J28">
        <f t="shared" si="9"/>
        <v>2</v>
      </c>
      <c r="K28">
        <f t="shared" si="9"/>
        <v>0</v>
      </c>
      <c r="L28">
        <f>VLOOKUP(J28,S6_BOX,K28+2,FALSE)</f>
        <v>9</v>
      </c>
      <c r="M28" t="str">
        <f t="shared" si="10"/>
        <v>1001</v>
      </c>
    </row>
    <row r="29" spans="1:49">
      <c r="A29" t="s">
        <v>160</v>
      </c>
      <c r="B29">
        <f>AL21</f>
        <v>1</v>
      </c>
      <c r="C29">
        <f t="shared" ref="C29:G29" si="15">AM21</f>
        <v>0</v>
      </c>
      <c r="D29">
        <f t="shared" si="15"/>
        <v>0</v>
      </c>
      <c r="E29">
        <f t="shared" si="15"/>
        <v>0</v>
      </c>
      <c r="F29">
        <f t="shared" si="15"/>
        <v>0</v>
      </c>
      <c r="G29">
        <f t="shared" si="15"/>
        <v>1</v>
      </c>
      <c r="H29" t="str">
        <f t="shared" si="7"/>
        <v>11</v>
      </c>
      <c r="I29" t="str">
        <f t="shared" si="8"/>
        <v>0000</v>
      </c>
      <c r="J29">
        <f t="shared" si="9"/>
        <v>3</v>
      </c>
      <c r="K29">
        <f t="shared" si="9"/>
        <v>0</v>
      </c>
      <c r="L29">
        <f>VLOOKUP(J29,S7_BOX,K29+2,FALSE)</f>
        <v>6</v>
      </c>
      <c r="M29" t="str">
        <f t="shared" si="10"/>
        <v>0110</v>
      </c>
    </row>
    <row r="30" spans="1:49">
      <c r="A30" t="s">
        <v>161</v>
      </c>
      <c r="B30">
        <f>AR21</f>
        <v>1</v>
      </c>
      <c r="C30">
        <f t="shared" ref="C30:G30" si="16">AS21</f>
        <v>0</v>
      </c>
      <c r="D30">
        <f t="shared" si="16"/>
        <v>0</v>
      </c>
      <c r="E30">
        <f t="shared" si="16"/>
        <v>0</v>
      </c>
      <c r="F30">
        <f t="shared" si="16"/>
        <v>1</v>
      </c>
      <c r="G30">
        <f t="shared" si="16"/>
        <v>0</v>
      </c>
      <c r="H30" t="str">
        <f t="shared" si="7"/>
        <v>10</v>
      </c>
      <c r="I30" t="str">
        <f t="shared" si="8"/>
        <v>0001</v>
      </c>
      <c r="J30">
        <f t="shared" si="9"/>
        <v>2</v>
      </c>
      <c r="K30">
        <f t="shared" si="9"/>
        <v>1</v>
      </c>
      <c r="L30">
        <f>VLOOKUP(J30,S8_BOX,K30+2,FALSE)</f>
        <v>11</v>
      </c>
      <c r="M30" t="str">
        <f t="shared" si="10"/>
        <v>1011</v>
      </c>
    </row>
    <row r="31" spans="1:49">
      <c r="A31" t="s">
        <v>162</v>
      </c>
      <c r="B31" t="str">
        <f>CONCATENATE(M23,M24,M25,M26,M27,M28,M29,M30)</f>
        <v>01000100111001111011100101101011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0</v>
      </c>
      <c r="E34" t="str">
        <f t="shared" si="17"/>
        <v>1</v>
      </c>
      <c r="F34" t="str">
        <f t="shared" si="17"/>
        <v>1</v>
      </c>
      <c r="G34" t="str">
        <f>CONCATENATE(C34,D34,E34,F34)</f>
        <v>1011</v>
      </c>
    </row>
    <row r="35" spans="1:33">
      <c r="B35">
        <v>2</v>
      </c>
      <c r="C35" t="str">
        <f t="shared" si="17"/>
        <v>1</v>
      </c>
      <c r="D35" t="str">
        <f t="shared" si="17"/>
        <v>0</v>
      </c>
      <c r="E35" t="str">
        <f t="shared" si="17"/>
        <v>0</v>
      </c>
      <c r="F35" t="str">
        <f t="shared" si="17"/>
        <v>1</v>
      </c>
      <c r="G35" t="str">
        <f t="shared" ref="G35:G41" si="18">CONCATENATE(C35,D35,E35,F35)</f>
        <v>1001</v>
      </c>
    </row>
    <row r="36" spans="1:33">
      <c r="B36">
        <v>3</v>
      </c>
      <c r="C36" t="str">
        <f t="shared" si="17"/>
        <v>0</v>
      </c>
      <c r="D36" t="str">
        <f t="shared" si="17"/>
        <v>1</v>
      </c>
      <c r="E36" t="str">
        <f t="shared" si="17"/>
        <v>0</v>
      </c>
      <c r="F36" t="str">
        <f t="shared" si="17"/>
        <v>1</v>
      </c>
      <c r="G36" t="str">
        <f t="shared" si="18"/>
        <v>0101</v>
      </c>
    </row>
    <row r="37" spans="1:33">
      <c r="B37">
        <v>4</v>
      </c>
      <c r="C37" t="str">
        <f t="shared" si="17"/>
        <v>0</v>
      </c>
      <c r="D37" t="str">
        <f t="shared" si="17"/>
        <v>0</v>
      </c>
      <c r="E37" t="str">
        <f t="shared" si="17"/>
        <v>1</v>
      </c>
      <c r="F37" t="str">
        <f t="shared" si="17"/>
        <v>1</v>
      </c>
      <c r="G37" t="str">
        <f t="shared" si="18"/>
        <v>0011</v>
      </c>
    </row>
    <row r="38" spans="1:33">
      <c r="B38">
        <v>5</v>
      </c>
      <c r="C38" t="str">
        <f t="shared" si="17"/>
        <v>1</v>
      </c>
      <c r="D38" t="str">
        <f t="shared" si="17"/>
        <v>0</v>
      </c>
      <c r="E38" t="str">
        <f t="shared" si="17"/>
        <v>1</v>
      </c>
      <c r="F38" t="str">
        <f t="shared" si="17"/>
        <v>1</v>
      </c>
      <c r="G38" t="str">
        <f t="shared" si="18"/>
        <v>1011</v>
      </c>
    </row>
    <row r="39" spans="1:33">
      <c r="B39">
        <v>6</v>
      </c>
      <c r="C39" t="str">
        <f t="shared" si="17"/>
        <v>1</v>
      </c>
      <c r="D39" t="str">
        <f t="shared" si="17"/>
        <v>1</v>
      </c>
      <c r="E39" t="str">
        <f t="shared" si="17"/>
        <v>0</v>
      </c>
      <c r="F39" t="str">
        <f t="shared" si="17"/>
        <v>1</v>
      </c>
      <c r="G39" t="str">
        <f t="shared" si="18"/>
        <v>1101</v>
      </c>
    </row>
    <row r="40" spans="1:33">
      <c r="B40">
        <v>7</v>
      </c>
      <c r="C40" t="str">
        <f t="shared" si="17"/>
        <v>1</v>
      </c>
      <c r="D40" t="str">
        <f t="shared" si="17"/>
        <v>0</v>
      </c>
      <c r="E40" t="str">
        <f t="shared" si="17"/>
        <v>0</v>
      </c>
      <c r="F40" t="str">
        <f t="shared" si="17"/>
        <v>1</v>
      </c>
      <c r="G40" t="str">
        <f t="shared" si="18"/>
        <v>1001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0</v>
      </c>
      <c r="F41" t="str">
        <f t="shared" si="17"/>
        <v>0</v>
      </c>
      <c r="G41" t="str">
        <f t="shared" si="18"/>
        <v>0100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10111001010100111011110110010100</v>
      </c>
    </row>
    <row r="44" spans="1:33">
      <c r="B44" t="str">
        <f>MID($B$43,B42,1)</f>
        <v>1</v>
      </c>
      <c r="C44" t="str">
        <f t="shared" ref="C44:AG44" si="19">MID($B$43,C42,1)</f>
        <v>0</v>
      </c>
      <c r="D44" t="str">
        <f t="shared" si="19"/>
        <v>1</v>
      </c>
      <c r="E44" t="str">
        <f t="shared" si="19"/>
        <v>1</v>
      </c>
      <c r="F44" t="str">
        <f t="shared" si="19"/>
        <v>1</v>
      </c>
      <c r="G44" t="str">
        <f t="shared" si="19"/>
        <v>0</v>
      </c>
      <c r="H44" t="str">
        <f t="shared" si="19"/>
        <v>0</v>
      </c>
      <c r="I44" t="str">
        <f t="shared" si="19"/>
        <v>1</v>
      </c>
      <c r="J44" t="str">
        <f t="shared" si="19"/>
        <v>0</v>
      </c>
      <c r="K44" t="str">
        <f t="shared" si="19"/>
        <v>1</v>
      </c>
      <c r="L44" t="str">
        <f t="shared" si="19"/>
        <v>0</v>
      </c>
      <c r="M44" t="str">
        <f t="shared" si="19"/>
        <v>1</v>
      </c>
      <c r="N44" t="str">
        <f t="shared" si="19"/>
        <v>0</v>
      </c>
      <c r="O44" t="str">
        <f t="shared" si="19"/>
        <v>0</v>
      </c>
      <c r="P44" t="str">
        <f t="shared" si="19"/>
        <v>1</v>
      </c>
      <c r="Q44" t="str">
        <f t="shared" si="19"/>
        <v>1</v>
      </c>
      <c r="R44" t="str">
        <f t="shared" si="19"/>
        <v>1</v>
      </c>
      <c r="S44" t="str">
        <f t="shared" si="19"/>
        <v>0</v>
      </c>
      <c r="T44" t="str">
        <f t="shared" si="19"/>
        <v>1</v>
      </c>
      <c r="U44" t="str">
        <f t="shared" si="19"/>
        <v>1</v>
      </c>
      <c r="V44" t="str">
        <f t="shared" si="19"/>
        <v>1</v>
      </c>
      <c r="W44" t="str">
        <f t="shared" si="19"/>
        <v>1</v>
      </c>
      <c r="X44" t="str">
        <f t="shared" si="19"/>
        <v>0</v>
      </c>
      <c r="Y44" t="str">
        <f t="shared" si="19"/>
        <v>1</v>
      </c>
      <c r="Z44" t="str">
        <f t="shared" si="19"/>
        <v>1</v>
      </c>
      <c r="AA44" t="str">
        <f t="shared" si="19"/>
        <v>0</v>
      </c>
      <c r="AB44" t="str">
        <f t="shared" si="19"/>
        <v>0</v>
      </c>
      <c r="AC44" t="str">
        <f t="shared" si="19"/>
        <v>1</v>
      </c>
      <c r="AD44" t="str">
        <f t="shared" si="19"/>
        <v>0</v>
      </c>
      <c r="AE44" t="str">
        <f t="shared" si="19"/>
        <v>1</v>
      </c>
      <c r="AF44" t="str">
        <f t="shared" si="19"/>
        <v>0</v>
      </c>
      <c r="AG44" t="str">
        <f t="shared" si="19"/>
        <v>0</v>
      </c>
    </row>
    <row r="45" spans="1:33">
      <c r="A45" t="str">
        <f>CONCATENATE("L",C4-1)</f>
        <v>L8</v>
      </c>
      <c r="B45" s="8" t="str">
        <f>'R8'!C6</f>
        <v>10101001111111000010000010100011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1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0</v>
      </c>
      <c r="F46" t="str">
        <f t="shared" si="20"/>
        <v>1</v>
      </c>
      <c r="G46" t="str">
        <f t="shared" si="20"/>
        <v>0</v>
      </c>
      <c r="H46" t="str">
        <f t="shared" si="20"/>
        <v>0</v>
      </c>
      <c r="I46" t="str">
        <f t="shared" si="20"/>
        <v>1</v>
      </c>
      <c r="J46" t="str">
        <f t="shared" si="20"/>
        <v>1</v>
      </c>
      <c r="K46" t="str">
        <f t="shared" si="20"/>
        <v>1</v>
      </c>
      <c r="L46" t="str">
        <f t="shared" si="20"/>
        <v>1</v>
      </c>
      <c r="M46" t="str">
        <f t="shared" si="20"/>
        <v>1</v>
      </c>
      <c r="N46" t="str">
        <f t="shared" si="20"/>
        <v>1</v>
      </c>
      <c r="O46" t="str">
        <f t="shared" si="20"/>
        <v>1</v>
      </c>
      <c r="P46" t="str">
        <f t="shared" si="20"/>
        <v>0</v>
      </c>
      <c r="Q46" t="str">
        <f t="shared" si="20"/>
        <v>0</v>
      </c>
      <c r="R46" t="str">
        <f t="shared" si="20"/>
        <v>0</v>
      </c>
      <c r="S46" t="str">
        <f t="shared" si="20"/>
        <v>0</v>
      </c>
      <c r="T46" t="str">
        <f t="shared" si="20"/>
        <v>1</v>
      </c>
      <c r="U46" t="str">
        <f t="shared" si="20"/>
        <v>0</v>
      </c>
      <c r="V46" t="str">
        <f t="shared" si="20"/>
        <v>0</v>
      </c>
      <c r="W46" t="str">
        <f t="shared" si="20"/>
        <v>0</v>
      </c>
      <c r="X46" t="str">
        <f t="shared" si="20"/>
        <v>0</v>
      </c>
      <c r="Y46" t="str">
        <f t="shared" si="20"/>
        <v>0</v>
      </c>
      <c r="Z46" t="str">
        <f t="shared" si="20"/>
        <v>1</v>
      </c>
      <c r="AA46" t="str">
        <f t="shared" si="20"/>
        <v>0</v>
      </c>
      <c r="AB46" t="str">
        <f t="shared" si="20"/>
        <v>1</v>
      </c>
      <c r="AC46" t="str">
        <f t="shared" si="20"/>
        <v>0</v>
      </c>
      <c r="AD46" t="str">
        <f t="shared" si="20"/>
        <v>0</v>
      </c>
      <c r="AE46" t="str">
        <f t="shared" si="20"/>
        <v>0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R9</v>
      </c>
      <c r="B47">
        <f>IF(B44=B46,0,1)</f>
        <v>0</v>
      </c>
      <c r="C47">
        <f t="shared" ref="C47:AG47" si="21">IF(C44=C46,0,1)</f>
        <v>0</v>
      </c>
      <c r="D47">
        <f t="shared" si="21"/>
        <v>0</v>
      </c>
      <c r="E47">
        <f t="shared" si="21"/>
        <v>1</v>
      </c>
      <c r="F47">
        <f t="shared" si="21"/>
        <v>0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1</v>
      </c>
      <c r="K47">
        <f t="shared" si="21"/>
        <v>0</v>
      </c>
      <c r="L47">
        <f t="shared" si="21"/>
        <v>1</v>
      </c>
      <c r="M47">
        <f t="shared" si="21"/>
        <v>0</v>
      </c>
      <c r="N47">
        <f t="shared" si="21"/>
        <v>1</v>
      </c>
      <c r="O47">
        <f t="shared" si="21"/>
        <v>1</v>
      </c>
      <c r="P47">
        <f t="shared" si="21"/>
        <v>1</v>
      </c>
      <c r="Q47">
        <f t="shared" si="21"/>
        <v>1</v>
      </c>
      <c r="R47">
        <f t="shared" si="21"/>
        <v>1</v>
      </c>
      <c r="S47">
        <f t="shared" si="21"/>
        <v>0</v>
      </c>
      <c r="T47">
        <f t="shared" si="21"/>
        <v>0</v>
      </c>
      <c r="U47">
        <f t="shared" si="21"/>
        <v>1</v>
      </c>
      <c r="V47">
        <f t="shared" si="21"/>
        <v>1</v>
      </c>
      <c r="W47">
        <f t="shared" si="21"/>
        <v>1</v>
      </c>
      <c r="X47">
        <f t="shared" si="21"/>
        <v>0</v>
      </c>
      <c r="Y47">
        <f t="shared" si="21"/>
        <v>1</v>
      </c>
      <c r="Z47">
        <f t="shared" si="21"/>
        <v>0</v>
      </c>
      <c r="AA47">
        <f t="shared" si="21"/>
        <v>0</v>
      </c>
      <c r="AB47">
        <f t="shared" si="21"/>
        <v>1</v>
      </c>
      <c r="AC47">
        <f t="shared" si="21"/>
        <v>1</v>
      </c>
      <c r="AD47">
        <f t="shared" si="21"/>
        <v>0</v>
      </c>
      <c r="AE47">
        <f t="shared" si="21"/>
        <v>1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0001</v>
      </c>
      <c r="F48" t="str">
        <f>CONCATENATE(F47,G47,H47,I47)</f>
        <v>0000</v>
      </c>
      <c r="J48" t="str">
        <f>CONCATENATE(J47,K47,L47,M47)</f>
        <v>1010</v>
      </c>
      <c r="N48" t="str">
        <f>CONCATENATE(N47,O47,P47,Q47)</f>
        <v>1111</v>
      </c>
      <c r="R48" t="str">
        <f>CONCATENATE(R47,S47,T47,U47)</f>
        <v>1001</v>
      </c>
      <c r="V48" t="str">
        <f>CONCATENATE(V47,W47,X47,Y47)</f>
        <v>1101</v>
      </c>
      <c r="Z48" t="str">
        <f>CONCATENATE(Z47,AA47,AB47,AC47)</f>
        <v>0011</v>
      </c>
      <c r="AD48" t="str">
        <f>CONCATENATE(AD47,AE47,AF47,AG47)</f>
        <v>0111</v>
      </c>
    </row>
    <row r="49" spans="1:2">
      <c r="A49" t="str">
        <f>A47</f>
        <v>R9</v>
      </c>
      <c r="B49" t="str">
        <f>CONCATENATE(B48,F48,J48,N48,R48,V48,Z48,AD48)</f>
        <v>00010000101011111001110100110111</v>
      </c>
    </row>
    <row r="50" spans="1:2">
      <c r="A50" t="str">
        <f>CONCATENATE(A49," hex")</f>
        <v>R9 hex</v>
      </c>
      <c r="B50" t="str">
        <f>CONCATENATE(BIN2HEX(B48),BIN2HEX(F48),BIN2HEX(J48),BIN2HEX(N48),BIN2HEX(R48),BIN2HEX(V48),BIN2HEX(Z48),BIN2HEX(AD48))</f>
        <v>10AF9D37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50"/>
  <sheetViews>
    <sheetView topLeftCell="A29" workbookViewId="0">
      <selection activeCell="A29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10</v>
      </c>
    </row>
    <row r="5" spans="1:13">
      <c r="A5" t="str">
        <f>CONCATENATE("K",C4)</f>
        <v>K10</v>
      </c>
      <c r="C5" s="8" t="str">
        <f>Kn!O11</f>
        <v>000000100111011001010111000010001011010110111111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L10   =</v>
      </c>
      <c r="B6" t="str">
        <f>CONCATENATE("R",(C4-1))</f>
        <v>R9</v>
      </c>
      <c r="C6" s="8" t="str">
        <f>'R9'!B49</f>
        <v>00010000101011111001110100110111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E(R9)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0</v>
      </c>
      <c r="E8" s="1" t="str">
        <f t="shared" si="0"/>
        <v>0</v>
      </c>
      <c r="F8" s="1" t="str">
        <f t="shared" si="0"/>
        <v>0</v>
      </c>
      <c r="G8" s="1" t="str">
        <f t="shared" si="0"/>
        <v>1</v>
      </c>
      <c r="H8" s="1" t="str">
        <f t="shared" si="0"/>
        <v>0</v>
      </c>
      <c r="I8" s="6" t="str">
        <f>CONCATENATE(C8,D8,E8,F8,G8,H8)</f>
        <v>100010</v>
      </c>
    </row>
    <row r="9" spans="1:13">
      <c r="B9">
        <v>2</v>
      </c>
      <c r="C9" s="1" t="str">
        <f t="shared" si="0"/>
        <v>1</v>
      </c>
      <c r="D9" s="1" t="str">
        <f t="shared" si="0"/>
        <v>0</v>
      </c>
      <c r="E9" s="1" t="str">
        <f t="shared" si="0"/>
        <v>0</v>
      </c>
      <c r="F9" s="1" t="str">
        <f t="shared" si="0"/>
        <v>0</v>
      </c>
      <c r="G9" s="1" t="str">
        <f t="shared" si="0"/>
        <v>0</v>
      </c>
      <c r="H9" s="1" t="str">
        <f t="shared" si="0"/>
        <v>1</v>
      </c>
      <c r="I9" s="6" t="str">
        <f t="shared" ref="I9:I15" si="1">CONCATENATE(C9,D9,E9,F9,G9,H9)</f>
        <v>100001</v>
      </c>
    </row>
    <row r="10" spans="1:13">
      <c r="B10">
        <v>3</v>
      </c>
      <c r="C10" s="1" t="str">
        <f t="shared" si="0"/>
        <v>0</v>
      </c>
      <c r="D10" s="1" t="str">
        <f t="shared" si="0"/>
        <v>1</v>
      </c>
      <c r="E10" s="1" t="str">
        <f t="shared" si="0"/>
        <v>0</v>
      </c>
      <c r="F10" s="1" t="str">
        <f t="shared" si="0"/>
        <v>1</v>
      </c>
      <c r="G10" s="1" t="str">
        <f t="shared" si="0"/>
        <v>0</v>
      </c>
      <c r="H10" s="1" t="str">
        <f t="shared" si="0"/>
        <v>1</v>
      </c>
      <c r="I10" s="6" t="str">
        <f t="shared" si="1"/>
        <v>010101</v>
      </c>
    </row>
    <row r="11" spans="1:13">
      <c r="B11">
        <v>4</v>
      </c>
      <c r="C11" s="1" t="str">
        <f t="shared" si="0"/>
        <v>0</v>
      </c>
      <c r="D11" s="1" t="str">
        <f t="shared" si="0"/>
        <v>1</v>
      </c>
      <c r="E11" s="1" t="str">
        <f t="shared" si="0"/>
        <v>1</v>
      </c>
      <c r="F11" s="1" t="str">
        <f t="shared" si="0"/>
        <v>1</v>
      </c>
      <c r="G11" s="1" t="str">
        <f t="shared" si="0"/>
        <v>1</v>
      </c>
      <c r="H11" s="1" t="str">
        <f t="shared" si="0"/>
        <v>1</v>
      </c>
      <c r="I11" s="6" t="str">
        <f t="shared" si="1"/>
        <v>011111</v>
      </c>
    </row>
    <row r="12" spans="1:13">
      <c r="B12">
        <v>5</v>
      </c>
      <c r="C12" s="1" t="str">
        <f t="shared" si="0"/>
        <v>1</v>
      </c>
      <c r="D12" s="1" t="str">
        <f t="shared" si="0"/>
        <v>1</v>
      </c>
      <c r="E12" s="1" t="str">
        <f t="shared" si="0"/>
        <v>0</v>
      </c>
      <c r="F12" s="1" t="str">
        <f t="shared" si="0"/>
        <v>0</v>
      </c>
      <c r="G12" s="1" t="str">
        <f t="shared" si="0"/>
        <v>1</v>
      </c>
      <c r="H12" s="1" t="str">
        <f t="shared" si="0"/>
        <v>1</v>
      </c>
      <c r="I12" s="6" t="str">
        <f t="shared" si="1"/>
        <v>110011</v>
      </c>
    </row>
    <row r="13" spans="1:13">
      <c r="B13">
        <v>6</v>
      </c>
      <c r="C13" s="1" t="str">
        <f t="shared" si="0"/>
        <v>1</v>
      </c>
      <c r="D13" s="1" t="str">
        <f t="shared" si="0"/>
        <v>1</v>
      </c>
      <c r="E13" s="1" t="str">
        <f t="shared" si="0"/>
        <v>1</v>
      </c>
      <c r="F13" s="1" t="str">
        <f t="shared" si="0"/>
        <v>0</v>
      </c>
      <c r="G13" s="1" t="str">
        <f t="shared" si="0"/>
        <v>1</v>
      </c>
      <c r="H13" s="1" t="str">
        <f t="shared" si="0"/>
        <v>0</v>
      </c>
      <c r="I13" s="6" t="str">
        <f t="shared" si="1"/>
        <v>111010</v>
      </c>
    </row>
    <row r="14" spans="1:13">
      <c r="B14">
        <v>7</v>
      </c>
      <c r="C14" s="1" t="str">
        <f t="shared" si="0"/>
        <v>1</v>
      </c>
      <c r="D14" s="1" t="str">
        <f t="shared" si="0"/>
        <v>0</v>
      </c>
      <c r="E14" s="1" t="str">
        <f t="shared" si="0"/>
        <v>0</v>
      </c>
      <c r="F14" s="1" t="str">
        <f t="shared" si="0"/>
        <v>1</v>
      </c>
      <c r="G14" s="1" t="str">
        <f t="shared" si="0"/>
        <v>1</v>
      </c>
      <c r="H14" s="1" t="str">
        <f t="shared" si="0"/>
        <v>0</v>
      </c>
      <c r="I14" s="6" t="str">
        <f t="shared" si="1"/>
        <v>100110</v>
      </c>
    </row>
    <row r="15" spans="1:13">
      <c r="B15">
        <v>8</v>
      </c>
      <c r="C15" s="1" t="str">
        <f t="shared" si="0"/>
        <v>1</v>
      </c>
      <c r="D15" s="1" t="str">
        <f t="shared" si="0"/>
        <v>0</v>
      </c>
      <c r="E15" s="1" t="str">
        <f t="shared" si="0"/>
        <v>1</v>
      </c>
      <c r="F15" s="1" t="str">
        <f t="shared" si="0"/>
        <v>1</v>
      </c>
      <c r="G15" s="1" t="str">
        <f t="shared" si="0"/>
        <v>1</v>
      </c>
      <c r="H15" s="1" t="str">
        <f t="shared" si="0"/>
        <v>0</v>
      </c>
      <c r="I15" s="6" t="str">
        <f t="shared" si="1"/>
        <v>101110</v>
      </c>
    </row>
    <row r="16" spans="1:13">
      <c r="A16" t="str">
        <f>A8</f>
        <v>E(R9)</v>
      </c>
      <c r="B16" t="str">
        <f>CONCATENATE(I8,I9,I10,I11,I12,I13,I14,I15)</f>
        <v>100010100001010101011111110011111010100110101110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K10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0</v>
      </c>
      <c r="E19" t="str">
        <f t="shared" si="2"/>
        <v>0</v>
      </c>
      <c r="F19" t="str">
        <f t="shared" si="2"/>
        <v>0</v>
      </c>
      <c r="G19" t="str">
        <f t="shared" si="2"/>
        <v>0</v>
      </c>
      <c r="H19" t="str">
        <f t="shared" si="2"/>
        <v>1</v>
      </c>
      <c r="I19" t="str">
        <f t="shared" si="2"/>
        <v>0</v>
      </c>
      <c r="J19" t="str">
        <f t="shared" si="2"/>
        <v>0</v>
      </c>
      <c r="K19" t="str">
        <f t="shared" si="2"/>
        <v>1</v>
      </c>
      <c r="L19" t="str">
        <f t="shared" si="2"/>
        <v>1</v>
      </c>
      <c r="M19" t="str">
        <f t="shared" si="2"/>
        <v>1</v>
      </c>
      <c r="N19" t="str">
        <f t="shared" si="2"/>
        <v>0</v>
      </c>
      <c r="O19" t="str">
        <f t="shared" si="2"/>
        <v>1</v>
      </c>
      <c r="P19" t="str">
        <f t="shared" si="2"/>
        <v>1</v>
      </c>
      <c r="Q19" t="str">
        <f t="shared" si="2"/>
        <v>0</v>
      </c>
      <c r="R19" t="str">
        <f t="shared" si="2"/>
        <v>0</v>
      </c>
      <c r="S19" t="str">
        <f t="shared" si="2"/>
        <v>1</v>
      </c>
      <c r="T19" t="str">
        <f t="shared" si="2"/>
        <v>0</v>
      </c>
      <c r="U19" t="str">
        <f t="shared" si="2"/>
        <v>1</v>
      </c>
      <c r="V19" t="str">
        <f t="shared" si="2"/>
        <v>0</v>
      </c>
      <c r="W19" t="str">
        <f t="shared" si="2"/>
        <v>1</v>
      </c>
      <c r="X19" t="str">
        <f t="shared" si="2"/>
        <v>1</v>
      </c>
      <c r="Y19" t="str">
        <f t="shared" si="2"/>
        <v>1</v>
      </c>
      <c r="Z19" t="str">
        <f t="shared" si="2"/>
        <v>0</v>
      </c>
      <c r="AA19" t="str">
        <f t="shared" si="2"/>
        <v>0</v>
      </c>
      <c r="AB19" t="str">
        <f t="shared" si="2"/>
        <v>0</v>
      </c>
      <c r="AC19" t="str">
        <f t="shared" si="2"/>
        <v>0</v>
      </c>
      <c r="AD19" t="str">
        <f t="shared" si="2"/>
        <v>1</v>
      </c>
      <c r="AE19" t="str">
        <f t="shared" si="2"/>
        <v>0</v>
      </c>
      <c r="AF19" t="str">
        <f t="shared" si="2"/>
        <v>0</v>
      </c>
      <c r="AG19" t="str">
        <f t="shared" si="2"/>
        <v>0</v>
      </c>
      <c r="AH19" t="str">
        <f t="shared" si="2"/>
        <v>1</v>
      </c>
      <c r="AI19" t="str">
        <f t="shared" si="2"/>
        <v>0</v>
      </c>
      <c r="AJ19" t="str">
        <f t="shared" si="2"/>
        <v>1</v>
      </c>
      <c r="AK19" t="str">
        <f t="shared" si="2"/>
        <v>1</v>
      </c>
      <c r="AL19" t="str">
        <f t="shared" si="2"/>
        <v>0</v>
      </c>
      <c r="AM19" t="str">
        <f t="shared" si="2"/>
        <v>1</v>
      </c>
      <c r="AN19" t="str">
        <f t="shared" si="2"/>
        <v>0</v>
      </c>
      <c r="AO19" t="str">
        <f t="shared" si="2"/>
        <v>1</v>
      </c>
      <c r="AP19" t="str">
        <f t="shared" si="2"/>
        <v>1</v>
      </c>
      <c r="AQ19" t="str">
        <f t="shared" si="2"/>
        <v>0</v>
      </c>
      <c r="AR19" t="str">
        <f t="shared" si="2"/>
        <v>1</v>
      </c>
      <c r="AS19" t="str">
        <f t="shared" si="2"/>
        <v>1</v>
      </c>
      <c r="AT19" t="str">
        <f t="shared" si="2"/>
        <v>1</v>
      </c>
      <c r="AU19" t="str">
        <f t="shared" si="2"/>
        <v>1</v>
      </c>
      <c r="AV19" t="str">
        <f t="shared" si="2"/>
        <v>1</v>
      </c>
      <c r="AW19" t="str">
        <f t="shared" si="2"/>
        <v>1</v>
      </c>
    </row>
    <row r="20" spans="1:49">
      <c r="A20" t="str">
        <f>A16</f>
        <v>E(R9)</v>
      </c>
      <c r="B20" t="str">
        <f>MID($B$16,B18,1)</f>
        <v>1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0</v>
      </c>
      <c r="F20" t="str">
        <f t="shared" si="3"/>
        <v>1</v>
      </c>
      <c r="G20" t="str">
        <f t="shared" si="3"/>
        <v>0</v>
      </c>
      <c r="H20" t="str">
        <f t="shared" si="3"/>
        <v>1</v>
      </c>
      <c r="I20" t="str">
        <f t="shared" si="3"/>
        <v>0</v>
      </c>
      <c r="J20" t="str">
        <f t="shared" si="3"/>
        <v>0</v>
      </c>
      <c r="K20" t="str">
        <f t="shared" si="3"/>
        <v>0</v>
      </c>
      <c r="L20" t="str">
        <f t="shared" si="3"/>
        <v>0</v>
      </c>
      <c r="M20" t="str">
        <f t="shared" si="3"/>
        <v>1</v>
      </c>
      <c r="N20" t="str">
        <f t="shared" si="3"/>
        <v>0</v>
      </c>
      <c r="O20" t="str">
        <f t="shared" si="3"/>
        <v>1</v>
      </c>
      <c r="P20" t="str">
        <f t="shared" si="3"/>
        <v>0</v>
      </c>
      <c r="Q20" t="str">
        <f t="shared" si="3"/>
        <v>1</v>
      </c>
      <c r="R20" t="str">
        <f t="shared" si="3"/>
        <v>0</v>
      </c>
      <c r="S20" t="str">
        <f t="shared" si="3"/>
        <v>1</v>
      </c>
      <c r="T20" t="str">
        <f t="shared" si="3"/>
        <v>0</v>
      </c>
      <c r="U20" t="str">
        <f t="shared" si="3"/>
        <v>1</v>
      </c>
      <c r="V20" t="str">
        <f t="shared" si="3"/>
        <v>1</v>
      </c>
      <c r="W20" t="str">
        <f t="shared" si="3"/>
        <v>1</v>
      </c>
      <c r="X20" t="str">
        <f t="shared" si="3"/>
        <v>1</v>
      </c>
      <c r="Y20" t="str">
        <f t="shared" si="3"/>
        <v>1</v>
      </c>
      <c r="Z20" t="str">
        <f t="shared" si="3"/>
        <v>1</v>
      </c>
      <c r="AA20" t="str">
        <f t="shared" si="3"/>
        <v>1</v>
      </c>
      <c r="AB20" t="str">
        <f t="shared" si="3"/>
        <v>0</v>
      </c>
      <c r="AC20" t="str">
        <f t="shared" si="3"/>
        <v>0</v>
      </c>
      <c r="AD20" t="str">
        <f t="shared" si="3"/>
        <v>1</v>
      </c>
      <c r="AE20" t="str">
        <f t="shared" si="3"/>
        <v>1</v>
      </c>
      <c r="AF20" t="str">
        <f t="shared" si="3"/>
        <v>1</v>
      </c>
      <c r="AG20" t="str">
        <f t="shared" si="3"/>
        <v>1</v>
      </c>
      <c r="AH20" t="str">
        <f t="shared" si="3"/>
        <v>1</v>
      </c>
      <c r="AI20" t="str">
        <f t="shared" si="3"/>
        <v>0</v>
      </c>
      <c r="AJ20" t="str">
        <f t="shared" si="3"/>
        <v>1</v>
      </c>
      <c r="AK20" t="str">
        <f t="shared" si="3"/>
        <v>0</v>
      </c>
      <c r="AL20" t="str">
        <f t="shared" si="3"/>
        <v>1</v>
      </c>
      <c r="AM20" t="str">
        <f t="shared" si="3"/>
        <v>0</v>
      </c>
      <c r="AN20" t="str">
        <f t="shared" si="3"/>
        <v>0</v>
      </c>
      <c r="AO20" t="str">
        <f t="shared" si="3"/>
        <v>1</v>
      </c>
      <c r="AP20" t="str">
        <f t="shared" si="3"/>
        <v>1</v>
      </c>
      <c r="AQ20" t="str">
        <f t="shared" si="3"/>
        <v>0</v>
      </c>
      <c r="AR20" t="str">
        <f t="shared" si="3"/>
        <v>1</v>
      </c>
      <c r="AS20" t="str">
        <f t="shared" si="3"/>
        <v>0</v>
      </c>
      <c r="AT20" t="str">
        <f t="shared" si="3"/>
        <v>1</v>
      </c>
      <c r="AU20" t="str">
        <f t="shared" si="3"/>
        <v>1</v>
      </c>
      <c r="AV20" t="str">
        <f t="shared" si="3"/>
        <v>1</v>
      </c>
      <c r="AW20" t="str">
        <f t="shared" si="3"/>
        <v>0</v>
      </c>
    </row>
    <row r="21" spans="1:49">
      <c r="A21" s="6" t="str">
        <f>CONCATENATE(A19," + ",A20)</f>
        <v>K10 + E(R9)</v>
      </c>
      <c r="B21" s="1">
        <f>IF(B19=B20,0,1)</f>
        <v>1</v>
      </c>
      <c r="C21" s="1">
        <f t="shared" ref="C21:AW21" si="4">IF(C19=C20,0,1)</f>
        <v>0</v>
      </c>
      <c r="D21" s="1">
        <f t="shared" si="4"/>
        <v>0</v>
      </c>
      <c r="E21" s="1">
        <f t="shared" si="4"/>
        <v>0</v>
      </c>
      <c r="F21" s="1">
        <f t="shared" si="4"/>
        <v>1</v>
      </c>
      <c r="G21" s="1">
        <f t="shared" si="4"/>
        <v>0</v>
      </c>
      <c r="H21" s="1">
        <f t="shared" si="4"/>
        <v>0</v>
      </c>
      <c r="I21" s="1">
        <f t="shared" si="4"/>
        <v>0</v>
      </c>
      <c r="J21" s="1">
        <f t="shared" si="4"/>
        <v>0</v>
      </c>
      <c r="K21" s="1">
        <f t="shared" si="4"/>
        <v>1</v>
      </c>
      <c r="L21" s="1">
        <f t="shared" si="4"/>
        <v>1</v>
      </c>
      <c r="M21" s="1">
        <f t="shared" si="4"/>
        <v>0</v>
      </c>
      <c r="N21" s="1">
        <f t="shared" si="4"/>
        <v>0</v>
      </c>
      <c r="O21" s="1">
        <f t="shared" si="4"/>
        <v>0</v>
      </c>
      <c r="P21" s="1">
        <f t="shared" si="4"/>
        <v>1</v>
      </c>
      <c r="Q21" s="1">
        <f t="shared" si="4"/>
        <v>1</v>
      </c>
      <c r="R21" s="1">
        <f t="shared" si="4"/>
        <v>0</v>
      </c>
      <c r="S21" s="1">
        <f t="shared" si="4"/>
        <v>0</v>
      </c>
      <c r="T21" s="1">
        <f t="shared" si="4"/>
        <v>0</v>
      </c>
      <c r="U21" s="1">
        <f t="shared" si="4"/>
        <v>0</v>
      </c>
      <c r="V21" s="1">
        <f t="shared" si="4"/>
        <v>1</v>
      </c>
      <c r="W21" s="1">
        <f t="shared" si="4"/>
        <v>0</v>
      </c>
      <c r="X21" s="1">
        <f t="shared" si="4"/>
        <v>0</v>
      </c>
      <c r="Y21" s="1">
        <f t="shared" si="4"/>
        <v>0</v>
      </c>
      <c r="Z21" s="1">
        <f t="shared" si="4"/>
        <v>1</v>
      </c>
      <c r="AA21" s="1">
        <f t="shared" si="4"/>
        <v>1</v>
      </c>
      <c r="AB21" s="1">
        <f t="shared" si="4"/>
        <v>0</v>
      </c>
      <c r="AC21" s="1">
        <f t="shared" si="4"/>
        <v>0</v>
      </c>
      <c r="AD21" s="1">
        <f t="shared" si="4"/>
        <v>0</v>
      </c>
      <c r="AE21" s="1">
        <f t="shared" si="4"/>
        <v>1</v>
      </c>
      <c r="AF21" s="1">
        <f t="shared" si="4"/>
        <v>1</v>
      </c>
      <c r="AG21" s="1">
        <f t="shared" si="4"/>
        <v>1</v>
      </c>
      <c r="AH21" s="1">
        <f t="shared" si="4"/>
        <v>0</v>
      </c>
      <c r="AI21" s="1">
        <f t="shared" si="4"/>
        <v>0</v>
      </c>
      <c r="AJ21" s="1">
        <f t="shared" si="4"/>
        <v>0</v>
      </c>
      <c r="AK21" s="1">
        <f t="shared" si="4"/>
        <v>1</v>
      </c>
      <c r="AL21" s="1">
        <f t="shared" si="4"/>
        <v>1</v>
      </c>
      <c r="AM21" s="1">
        <f t="shared" si="4"/>
        <v>1</v>
      </c>
      <c r="AN21" s="1">
        <f t="shared" si="4"/>
        <v>0</v>
      </c>
      <c r="AO21" s="1">
        <f t="shared" si="4"/>
        <v>0</v>
      </c>
      <c r="AP21" s="1">
        <f t="shared" si="4"/>
        <v>0</v>
      </c>
      <c r="AQ21" s="1">
        <f t="shared" si="4"/>
        <v>0</v>
      </c>
      <c r="AR21" s="1">
        <f t="shared" si="4"/>
        <v>0</v>
      </c>
      <c r="AS21" s="1">
        <f t="shared" si="4"/>
        <v>1</v>
      </c>
      <c r="AT21" s="1">
        <f t="shared" si="4"/>
        <v>0</v>
      </c>
      <c r="AU21" s="1">
        <f t="shared" si="4"/>
        <v>0</v>
      </c>
      <c r="AV21" s="1">
        <f t="shared" si="4"/>
        <v>0</v>
      </c>
      <c r="AW21" s="1">
        <f t="shared" si="4"/>
        <v>1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1</v>
      </c>
      <c r="C23">
        <f t="shared" ref="C23:G23" si="5">C21</f>
        <v>0</v>
      </c>
      <c r="D23">
        <f t="shared" si="5"/>
        <v>0</v>
      </c>
      <c r="E23">
        <f t="shared" si="5"/>
        <v>0</v>
      </c>
      <c r="F23">
        <f t="shared" si="5"/>
        <v>1</v>
      </c>
      <c r="G23">
        <f t="shared" si="5"/>
        <v>0</v>
      </c>
      <c r="H23" t="str">
        <f>CONCATENATE(B23,G23)</f>
        <v>10</v>
      </c>
      <c r="I23" t="str">
        <f>CONCATENATE(C23,D23,E23,F23)</f>
        <v>0001</v>
      </c>
      <c r="J23">
        <f>BIN2DEC(H23)</f>
        <v>2</v>
      </c>
      <c r="K23">
        <f>BIN2DEC(I23)</f>
        <v>1</v>
      </c>
      <c r="L23">
        <f>VLOOKUP(J23,S1_BOX,K23+2,FALSE)</f>
        <v>1</v>
      </c>
      <c r="M23" t="str">
        <f>DEC2BIN(L23,4)</f>
        <v>0001</v>
      </c>
    </row>
    <row r="24" spans="1:49">
      <c r="A24" t="s">
        <v>155</v>
      </c>
      <c r="B24">
        <f>H21</f>
        <v>0</v>
      </c>
      <c r="C24">
        <f t="shared" ref="C24:G24" si="6">I21</f>
        <v>0</v>
      </c>
      <c r="D24">
        <f t="shared" si="6"/>
        <v>0</v>
      </c>
      <c r="E24">
        <f t="shared" si="6"/>
        <v>1</v>
      </c>
      <c r="F24">
        <f t="shared" si="6"/>
        <v>1</v>
      </c>
      <c r="G24">
        <f t="shared" si="6"/>
        <v>0</v>
      </c>
      <c r="H24" t="str">
        <f t="shared" ref="H24:H30" si="7">CONCATENATE(B24,G24)</f>
        <v>00</v>
      </c>
      <c r="I24" t="str">
        <f t="shared" ref="I24:I30" si="8">CONCATENATE(C24,D24,E24,F24)</f>
        <v>0011</v>
      </c>
      <c r="J24">
        <f t="shared" ref="J24:K30" si="9">BIN2DEC(H24)</f>
        <v>0</v>
      </c>
      <c r="K24">
        <f t="shared" si="9"/>
        <v>3</v>
      </c>
      <c r="L24">
        <f>VLOOKUP(J24,S2_BOX,K24+2,FALSE)</f>
        <v>14</v>
      </c>
      <c r="M24" t="str">
        <f t="shared" ref="M24:M30" si="10">DEC2BIN(L24,4)</f>
        <v>1110</v>
      </c>
    </row>
    <row r="25" spans="1:49">
      <c r="A25" t="s">
        <v>156</v>
      </c>
      <c r="B25">
        <f>N21</f>
        <v>0</v>
      </c>
      <c r="C25">
        <f t="shared" ref="C25:G25" si="11">O21</f>
        <v>0</v>
      </c>
      <c r="D25">
        <f t="shared" si="11"/>
        <v>1</v>
      </c>
      <c r="E25">
        <f t="shared" si="11"/>
        <v>1</v>
      </c>
      <c r="F25">
        <f t="shared" si="11"/>
        <v>0</v>
      </c>
      <c r="G25">
        <f t="shared" si="11"/>
        <v>0</v>
      </c>
      <c r="H25" t="str">
        <f t="shared" si="7"/>
        <v>00</v>
      </c>
      <c r="I25" t="str">
        <f t="shared" si="8"/>
        <v>0110</v>
      </c>
      <c r="J25">
        <f t="shared" si="9"/>
        <v>0</v>
      </c>
      <c r="K25">
        <f t="shared" si="9"/>
        <v>6</v>
      </c>
      <c r="L25">
        <f>VLOOKUP(J25,S3_BOX,K25+2,FALSE)</f>
        <v>15</v>
      </c>
      <c r="M25" t="str">
        <f t="shared" si="10"/>
        <v>1111</v>
      </c>
    </row>
    <row r="26" spans="1:49">
      <c r="A26" t="s">
        <v>157</v>
      </c>
      <c r="B26">
        <f>T21</f>
        <v>0</v>
      </c>
      <c r="C26">
        <f t="shared" ref="C26:G26" si="12">U21</f>
        <v>0</v>
      </c>
      <c r="D26">
        <f t="shared" si="12"/>
        <v>1</v>
      </c>
      <c r="E26">
        <f t="shared" si="12"/>
        <v>0</v>
      </c>
      <c r="F26">
        <f t="shared" si="12"/>
        <v>0</v>
      </c>
      <c r="G26">
        <f t="shared" si="12"/>
        <v>0</v>
      </c>
      <c r="H26" t="str">
        <f t="shared" si="7"/>
        <v>00</v>
      </c>
      <c r="I26" t="str">
        <f t="shared" si="8"/>
        <v>0100</v>
      </c>
      <c r="J26">
        <f t="shared" si="9"/>
        <v>0</v>
      </c>
      <c r="K26">
        <f t="shared" si="9"/>
        <v>4</v>
      </c>
      <c r="L26">
        <f>VLOOKUP(J26,S4_BOX,K26+2,FALSE)</f>
        <v>0</v>
      </c>
      <c r="M26" t="str">
        <f t="shared" si="10"/>
        <v>0000</v>
      </c>
    </row>
    <row r="27" spans="1:49">
      <c r="A27" t="s">
        <v>158</v>
      </c>
      <c r="B27">
        <f>Z21</f>
        <v>1</v>
      </c>
      <c r="C27">
        <f t="shared" ref="C27:G27" si="13">AA21</f>
        <v>1</v>
      </c>
      <c r="D27">
        <f t="shared" si="13"/>
        <v>0</v>
      </c>
      <c r="E27">
        <f t="shared" si="13"/>
        <v>0</v>
      </c>
      <c r="F27">
        <f t="shared" si="13"/>
        <v>0</v>
      </c>
      <c r="G27">
        <f t="shared" si="13"/>
        <v>1</v>
      </c>
      <c r="H27" t="str">
        <f t="shared" si="7"/>
        <v>11</v>
      </c>
      <c r="I27" t="str">
        <f t="shared" si="8"/>
        <v>1000</v>
      </c>
      <c r="J27">
        <f t="shared" si="9"/>
        <v>3</v>
      </c>
      <c r="K27">
        <f t="shared" si="9"/>
        <v>8</v>
      </c>
      <c r="L27">
        <f>VLOOKUP(J27,S5_BOX,K27+2,FALSE)</f>
        <v>6</v>
      </c>
      <c r="M27" t="str">
        <f t="shared" si="10"/>
        <v>0110</v>
      </c>
    </row>
    <row r="28" spans="1:49">
      <c r="A28" t="s">
        <v>159</v>
      </c>
      <c r="B28">
        <f>AF21</f>
        <v>1</v>
      </c>
      <c r="C28">
        <f t="shared" ref="C28:G28" si="14">AG21</f>
        <v>1</v>
      </c>
      <c r="D28">
        <f t="shared" si="14"/>
        <v>0</v>
      </c>
      <c r="E28">
        <f t="shared" si="14"/>
        <v>0</v>
      </c>
      <c r="F28">
        <f t="shared" si="14"/>
        <v>0</v>
      </c>
      <c r="G28">
        <f t="shared" si="14"/>
        <v>1</v>
      </c>
      <c r="H28" t="str">
        <f t="shared" si="7"/>
        <v>11</v>
      </c>
      <c r="I28" t="str">
        <f t="shared" si="8"/>
        <v>1000</v>
      </c>
      <c r="J28">
        <f t="shared" si="9"/>
        <v>3</v>
      </c>
      <c r="K28">
        <f t="shared" si="9"/>
        <v>8</v>
      </c>
      <c r="L28">
        <f>VLOOKUP(J28,S6_BOX,K28+2,FALSE)</f>
        <v>11</v>
      </c>
      <c r="M28" t="str">
        <f t="shared" si="10"/>
        <v>1011</v>
      </c>
    </row>
    <row r="29" spans="1:49">
      <c r="A29" t="s">
        <v>160</v>
      </c>
      <c r="B29">
        <f>AL21</f>
        <v>1</v>
      </c>
      <c r="C29">
        <f t="shared" ref="C29:G29" si="15">AM21</f>
        <v>1</v>
      </c>
      <c r="D29">
        <f t="shared" si="15"/>
        <v>0</v>
      </c>
      <c r="E29">
        <f t="shared" si="15"/>
        <v>0</v>
      </c>
      <c r="F29">
        <f t="shared" si="15"/>
        <v>0</v>
      </c>
      <c r="G29">
        <f t="shared" si="15"/>
        <v>0</v>
      </c>
      <c r="H29" t="str">
        <f t="shared" si="7"/>
        <v>10</v>
      </c>
      <c r="I29" t="str">
        <f t="shared" si="8"/>
        <v>1000</v>
      </c>
      <c r="J29">
        <f t="shared" si="9"/>
        <v>2</v>
      </c>
      <c r="K29">
        <f t="shared" si="9"/>
        <v>8</v>
      </c>
      <c r="L29">
        <f>VLOOKUP(J29,S7_BOX,K29+2,FALSE)</f>
        <v>10</v>
      </c>
      <c r="M29" t="str">
        <f t="shared" si="10"/>
        <v>1010</v>
      </c>
    </row>
    <row r="30" spans="1:49">
      <c r="A30" t="s">
        <v>161</v>
      </c>
      <c r="B30">
        <f>AR21</f>
        <v>0</v>
      </c>
      <c r="C30">
        <f t="shared" ref="C30:G30" si="16">AS21</f>
        <v>1</v>
      </c>
      <c r="D30">
        <f t="shared" si="16"/>
        <v>0</v>
      </c>
      <c r="E30">
        <f t="shared" si="16"/>
        <v>0</v>
      </c>
      <c r="F30">
        <f t="shared" si="16"/>
        <v>0</v>
      </c>
      <c r="G30">
        <f t="shared" si="16"/>
        <v>1</v>
      </c>
      <c r="H30" t="str">
        <f t="shared" si="7"/>
        <v>01</v>
      </c>
      <c r="I30" t="str">
        <f t="shared" si="8"/>
        <v>1000</v>
      </c>
      <c r="J30">
        <f t="shared" si="9"/>
        <v>1</v>
      </c>
      <c r="K30">
        <f t="shared" si="9"/>
        <v>8</v>
      </c>
      <c r="L30">
        <f>VLOOKUP(J30,S8_BOX,K30+2,FALSE)</f>
        <v>12</v>
      </c>
      <c r="M30" t="str">
        <f t="shared" si="10"/>
        <v>1100</v>
      </c>
    </row>
    <row r="31" spans="1:49">
      <c r="A31" t="s">
        <v>162</v>
      </c>
      <c r="B31" t="str">
        <f>CONCATENATE(M23,M24,M25,M26,M27,M28,M29,M30)</f>
        <v>00011110111100000110101110101100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1</v>
      </c>
      <c r="E34" t="str">
        <f t="shared" si="17"/>
        <v>0</v>
      </c>
      <c r="F34" t="str">
        <f t="shared" si="17"/>
        <v>1</v>
      </c>
      <c r="G34" t="str">
        <f>CONCATENATE(C34,D34,E34,F34)</f>
        <v>0101</v>
      </c>
    </row>
    <row r="35" spans="1:33">
      <c r="B35">
        <v>2</v>
      </c>
      <c r="C35" t="str">
        <f t="shared" si="17"/>
        <v>1</v>
      </c>
      <c r="D35" t="str">
        <f t="shared" si="17"/>
        <v>1</v>
      </c>
      <c r="E35" t="str">
        <f t="shared" si="17"/>
        <v>0</v>
      </c>
      <c r="F35" t="str">
        <f t="shared" si="17"/>
        <v>0</v>
      </c>
      <c r="G35" t="str">
        <f t="shared" ref="G35:G41" si="18">CONCATENATE(C35,D35,E35,F35)</f>
        <v>1100</v>
      </c>
    </row>
    <row r="36" spans="1:33">
      <c r="B36">
        <v>3</v>
      </c>
      <c r="C36" t="str">
        <f t="shared" si="17"/>
        <v>0</v>
      </c>
      <c r="D36" t="str">
        <f t="shared" si="17"/>
        <v>0</v>
      </c>
      <c r="E36" t="str">
        <f t="shared" si="17"/>
        <v>1</v>
      </c>
      <c r="F36" t="str">
        <f t="shared" si="17"/>
        <v>0</v>
      </c>
      <c r="G36" t="str">
        <f t="shared" si="18"/>
        <v>0010</v>
      </c>
    </row>
    <row r="37" spans="1:33">
      <c r="B37">
        <v>4</v>
      </c>
      <c r="C37" t="str">
        <f t="shared" si="17"/>
        <v>1</v>
      </c>
      <c r="D37" t="str">
        <f t="shared" si="17"/>
        <v>1</v>
      </c>
      <c r="E37" t="str">
        <f t="shared" si="17"/>
        <v>0</v>
      </c>
      <c r="F37" t="str">
        <f t="shared" si="17"/>
        <v>1</v>
      </c>
      <c r="G37" t="str">
        <f t="shared" si="18"/>
        <v>1101</v>
      </c>
    </row>
    <row r="38" spans="1:33">
      <c r="B38">
        <v>5</v>
      </c>
      <c r="C38" t="str">
        <f t="shared" si="17"/>
        <v>0</v>
      </c>
      <c r="D38" t="str">
        <f t="shared" si="17"/>
        <v>0</v>
      </c>
      <c r="E38" t="str">
        <f t="shared" si="17"/>
        <v>1</v>
      </c>
      <c r="F38" t="str">
        <f t="shared" si="17"/>
        <v>0</v>
      </c>
      <c r="G38" t="str">
        <f t="shared" si="18"/>
        <v>0010</v>
      </c>
    </row>
    <row r="39" spans="1:33">
      <c r="B39">
        <v>6</v>
      </c>
      <c r="C39" t="str">
        <f t="shared" si="17"/>
        <v>0</v>
      </c>
      <c r="D39" t="str">
        <f t="shared" si="17"/>
        <v>1</v>
      </c>
      <c r="E39" t="str">
        <f t="shared" si="17"/>
        <v>0</v>
      </c>
      <c r="F39" t="str">
        <f t="shared" si="17"/>
        <v>1</v>
      </c>
      <c r="G39" t="str">
        <f t="shared" si="18"/>
        <v>0101</v>
      </c>
    </row>
    <row r="40" spans="1:33">
      <c r="B40">
        <v>7</v>
      </c>
      <c r="C40" t="str">
        <f t="shared" si="17"/>
        <v>1</v>
      </c>
      <c r="D40" t="str">
        <f t="shared" si="17"/>
        <v>0</v>
      </c>
      <c r="E40" t="str">
        <f t="shared" si="17"/>
        <v>1</v>
      </c>
      <c r="F40" t="str">
        <f t="shared" si="17"/>
        <v>1</v>
      </c>
      <c r="G40" t="str">
        <f t="shared" si="18"/>
        <v>1011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1</v>
      </c>
      <c r="F41" t="str">
        <f t="shared" si="17"/>
        <v>1</v>
      </c>
      <c r="G41" t="str">
        <f t="shared" si="18"/>
        <v>0111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01011100001011010010010110110111</v>
      </c>
    </row>
    <row r="44" spans="1:33">
      <c r="B44" t="str">
        <f>MID($B$43,B42,1)</f>
        <v>0</v>
      </c>
      <c r="C44" t="str">
        <f t="shared" ref="C44:AG44" si="19">MID($B$43,C42,1)</f>
        <v>1</v>
      </c>
      <c r="D44" t="str">
        <f t="shared" si="19"/>
        <v>0</v>
      </c>
      <c r="E44" t="str">
        <f t="shared" si="19"/>
        <v>1</v>
      </c>
      <c r="F44" t="str">
        <f t="shared" si="19"/>
        <v>1</v>
      </c>
      <c r="G44" t="str">
        <f t="shared" si="19"/>
        <v>1</v>
      </c>
      <c r="H44" t="str">
        <f t="shared" si="19"/>
        <v>0</v>
      </c>
      <c r="I44" t="str">
        <f t="shared" si="19"/>
        <v>0</v>
      </c>
      <c r="J44" t="str">
        <f t="shared" si="19"/>
        <v>0</v>
      </c>
      <c r="K44" t="str">
        <f t="shared" si="19"/>
        <v>0</v>
      </c>
      <c r="L44" t="str">
        <f t="shared" si="19"/>
        <v>1</v>
      </c>
      <c r="M44" t="str">
        <f t="shared" si="19"/>
        <v>0</v>
      </c>
      <c r="N44" t="str">
        <f t="shared" si="19"/>
        <v>1</v>
      </c>
      <c r="O44" t="str">
        <f t="shared" si="19"/>
        <v>1</v>
      </c>
      <c r="P44" t="str">
        <f t="shared" si="19"/>
        <v>0</v>
      </c>
      <c r="Q44" t="str">
        <f t="shared" si="19"/>
        <v>1</v>
      </c>
      <c r="R44" t="str">
        <f t="shared" si="19"/>
        <v>0</v>
      </c>
      <c r="S44" t="str">
        <f t="shared" si="19"/>
        <v>0</v>
      </c>
      <c r="T44" t="str">
        <f t="shared" si="19"/>
        <v>1</v>
      </c>
      <c r="U44" t="str">
        <f t="shared" si="19"/>
        <v>0</v>
      </c>
      <c r="V44" t="str">
        <f t="shared" si="19"/>
        <v>0</v>
      </c>
      <c r="W44" t="str">
        <f t="shared" si="19"/>
        <v>1</v>
      </c>
      <c r="X44" t="str">
        <f t="shared" si="19"/>
        <v>0</v>
      </c>
      <c r="Y44" t="str">
        <f t="shared" si="19"/>
        <v>1</v>
      </c>
      <c r="Z44" t="str">
        <f t="shared" si="19"/>
        <v>1</v>
      </c>
      <c r="AA44" t="str">
        <f t="shared" si="19"/>
        <v>0</v>
      </c>
      <c r="AB44" t="str">
        <f t="shared" si="19"/>
        <v>1</v>
      </c>
      <c r="AC44" t="str">
        <f t="shared" si="19"/>
        <v>1</v>
      </c>
      <c r="AD44" t="str">
        <f t="shared" si="19"/>
        <v>0</v>
      </c>
      <c r="AE44" t="str">
        <f t="shared" si="19"/>
        <v>1</v>
      </c>
      <c r="AF44" t="str">
        <f t="shared" si="19"/>
        <v>1</v>
      </c>
      <c r="AG44" t="str">
        <f t="shared" si="19"/>
        <v>1</v>
      </c>
    </row>
    <row r="45" spans="1:33">
      <c r="A45" t="str">
        <f>CONCATENATE("L",C4-1)</f>
        <v>L9</v>
      </c>
      <c r="B45" s="8" t="str">
        <f>'R9'!C6</f>
        <v>00110000100010111110111010010111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1</v>
      </c>
      <c r="F46" t="str">
        <f t="shared" si="20"/>
        <v>0</v>
      </c>
      <c r="G46" t="str">
        <f t="shared" si="20"/>
        <v>0</v>
      </c>
      <c r="H46" t="str">
        <f t="shared" si="20"/>
        <v>0</v>
      </c>
      <c r="I46" t="str">
        <f t="shared" si="20"/>
        <v>0</v>
      </c>
      <c r="J46" t="str">
        <f t="shared" si="20"/>
        <v>1</v>
      </c>
      <c r="K46" t="str">
        <f t="shared" si="20"/>
        <v>0</v>
      </c>
      <c r="L46" t="str">
        <f t="shared" si="20"/>
        <v>0</v>
      </c>
      <c r="M46" t="str">
        <f t="shared" si="20"/>
        <v>0</v>
      </c>
      <c r="N46" t="str">
        <f t="shared" si="20"/>
        <v>1</v>
      </c>
      <c r="O46" t="str">
        <f t="shared" si="20"/>
        <v>0</v>
      </c>
      <c r="P46" t="str">
        <f t="shared" si="20"/>
        <v>1</v>
      </c>
      <c r="Q46" t="str">
        <f t="shared" si="20"/>
        <v>1</v>
      </c>
      <c r="R46" t="str">
        <f t="shared" si="20"/>
        <v>1</v>
      </c>
      <c r="S46" t="str">
        <f t="shared" si="20"/>
        <v>1</v>
      </c>
      <c r="T46" t="str">
        <f t="shared" si="20"/>
        <v>1</v>
      </c>
      <c r="U46" t="str">
        <f t="shared" si="20"/>
        <v>0</v>
      </c>
      <c r="V46" t="str">
        <f t="shared" si="20"/>
        <v>1</v>
      </c>
      <c r="W46" t="str">
        <f t="shared" si="20"/>
        <v>1</v>
      </c>
      <c r="X46" t="str">
        <f t="shared" si="20"/>
        <v>1</v>
      </c>
      <c r="Y46" t="str">
        <f t="shared" si="20"/>
        <v>0</v>
      </c>
      <c r="Z46" t="str">
        <f t="shared" si="20"/>
        <v>1</v>
      </c>
      <c r="AA46" t="str">
        <f t="shared" si="20"/>
        <v>0</v>
      </c>
      <c r="AB46" t="str">
        <f t="shared" si="20"/>
        <v>0</v>
      </c>
      <c r="AC46" t="str">
        <f t="shared" si="20"/>
        <v>1</v>
      </c>
      <c r="AD46" t="str">
        <f t="shared" si="20"/>
        <v>0</v>
      </c>
      <c r="AE46" t="str">
        <f t="shared" si="20"/>
        <v>1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R10</v>
      </c>
      <c r="B47">
        <f>IF(B44=B46,0,1)</f>
        <v>0</v>
      </c>
      <c r="C47">
        <f t="shared" ref="C47:AG47" si="21">IF(C44=C46,0,1)</f>
        <v>1</v>
      </c>
      <c r="D47">
        <f t="shared" si="21"/>
        <v>1</v>
      </c>
      <c r="E47">
        <f t="shared" si="21"/>
        <v>0</v>
      </c>
      <c r="F47">
        <f t="shared" si="21"/>
        <v>1</v>
      </c>
      <c r="G47">
        <f t="shared" si="21"/>
        <v>1</v>
      </c>
      <c r="H47">
        <f t="shared" si="21"/>
        <v>0</v>
      </c>
      <c r="I47">
        <f t="shared" si="21"/>
        <v>0</v>
      </c>
      <c r="J47">
        <f t="shared" si="21"/>
        <v>1</v>
      </c>
      <c r="K47">
        <f t="shared" si="21"/>
        <v>0</v>
      </c>
      <c r="L47">
        <f t="shared" si="21"/>
        <v>1</v>
      </c>
      <c r="M47">
        <f t="shared" si="21"/>
        <v>0</v>
      </c>
      <c r="N47">
        <f t="shared" si="21"/>
        <v>0</v>
      </c>
      <c r="O47">
        <f t="shared" si="21"/>
        <v>1</v>
      </c>
      <c r="P47">
        <f t="shared" si="21"/>
        <v>1</v>
      </c>
      <c r="Q47">
        <f t="shared" si="21"/>
        <v>0</v>
      </c>
      <c r="R47">
        <f t="shared" si="21"/>
        <v>1</v>
      </c>
      <c r="S47">
        <f t="shared" si="21"/>
        <v>1</v>
      </c>
      <c r="T47">
        <f t="shared" si="21"/>
        <v>0</v>
      </c>
      <c r="U47">
        <f t="shared" si="21"/>
        <v>0</v>
      </c>
      <c r="V47">
        <f t="shared" si="21"/>
        <v>1</v>
      </c>
      <c r="W47">
        <f t="shared" si="21"/>
        <v>0</v>
      </c>
      <c r="X47">
        <f t="shared" si="21"/>
        <v>1</v>
      </c>
      <c r="Y47">
        <f t="shared" si="21"/>
        <v>1</v>
      </c>
      <c r="Z47">
        <f t="shared" si="21"/>
        <v>0</v>
      </c>
      <c r="AA47">
        <f t="shared" si="21"/>
        <v>0</v>
      </c>
      <c r="AB47">
        <f t="shared" si="21"/>
        <v>1</v>
      </c>
      <c r="AC47">
        <f t="shared" si="21"/>
        <v>0</v>
      </c>
      <c r="AD47">
        <f t="shared" si="21"/>
        <v>0</v>
      </c>
      <c r="AE47">
        <f t="shared" si="21"/>
        <v>0</v>
      </c>
      <c r="AF47">
        <f t="shared" si="21"/>
        <v>0</v>
      </c>
      <c r="AG47">
        <f t="shared" si="21"/>
        <v>0</v>
      </c>
    </row>
    <row r="48" spans="1:33">
      <c r="B48" t="str">
        <f>CONCATENATE(B47,C47,D47,E47)</f>
        <v>0110</v>
      </c>
      <c r="F48" t="str">
        <f>CONCATENATE(F47,G47,H47,I47)</f>
        <v>1100</v>
      </c>
      <c r="J48" t="str">
        <f>CONCATENATE(J47,K47,L47,M47)</f>
        <v>1010</v>
      </c>
      <c r="N48" t="str">
        <f>CONCATENATE(N47,O47,P47,Q47)</f>
        <v>0110</v>
      </c>
      <c r="R48" t="str">
        <f>CONCATENATE(R47,S47,T47,U47)</f>
        <v>1100</v>
      </c>
      <c r="V48" t="str">
        <f>CONCATENATE(V47,W47,X47,Y47)</f>
        <v>1011</v>
      </c>
      <c r="Z48" t="str">
        <f>CONCATENATE(Z47,AA47,AB47,AC47)</f>
        <v>0010</v>
      </c>
      <c r="AD48" t="str">
        <f>CONCATENATE(AD47,AE47,AF47,AG47)</f>
        <v>0000</v>
      </c>
    </row>
    <row r="49" spans="1:2">
      <c r="A49" t="str">
        <f>A47</f>
        <v>R10</v>
      </c>
      <c r="B49" t="str">
        <f>CONCATENATE(B48,F48,J48,N48,R48,V48,Z48,AD48)</f>
        <v>01101100101001101100101100100000</v>
      </c>
    </row>
    <row r="50" spans="1:2">
      <c r="A50" t="str">
        <f>CONCATENATE(A49," hex")</f>
        <v>R10 hex</v>
      </c>
      <c r="B50" t="str">
        <f>CONCATENATE(BIN2HEX(B48),BIN2HEX(F48),BIN2HEX(J48),BIN2HEX(N48),BIN2HEX(R48),BIN2HEX(V48),BIN2HEX(Z48),BIN2HEX(AD48))</f>
        <v>6CA6CB20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50"/>
  <sheetViews>
    <sheetView topLeftCell="A28" workbookViewId="0">
      <selection activeCell="A28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11</v>
      </c>
    </row>
    <row r="5" spans="1:13">
      <c r="A5" t="str">
        <f>CONCATENATE("K",C4)</f>
        <v>K11</v>
      </c>
      <c r="C5" s="8" t="str">
        <f>Kn!O12</f>
        <v>011011010101010101100000101011110111110010100101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L11   =</v>
      </c>
      <c r="B6" t="str">
        <f>CONCATENATE("R",(C4-1))</f>
        <v>R10</v>
      </c>
      <c r="C6" s="8" t="str">
        <f>'R10'!B49</f>
        <v>01101100101001101100101100100000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E(R10)</v>
      </c>
      <c r="B8">
        <v>1</v>
      </c>
      <c r="C8" s="1" t="str">
        <f t="shared" ref="C8:H15" si="0">MID($C$6,VLOOKUP($B8,E_BIT,C$7+1,FALSE),1)</f>
        <v>0</v>
      </c>
      <c r="D8" s="1" t="str">
        <f t="shared" si="0"/>
        <v>0</v>
      </c>
      <c r="E8" s="1" t="str">
        <f t="shared" si="0"/>
        <v>1</v>
      </c>
      <c r="F8" s="1" t="str">
        <f t="shared" si="0"/>
        <v>1</v>
      </c>
      <c r="G8" s="1" t="str">
        <f t="shared" si="0"/>
        <v>0</v>
      </c>
      <c r="H8" s="1" t="str">
        <f t="shared" si="0"/>
        <v>1</v>
      </c>
      <c r="I8" s="6" t="str">
        <f>CONCATENATE(C8,D8,E8,F8,G8,H8)</f>
        <v>001101</v>
      </c>
    </row>
    <row r="9" spans="1:13">
      <c r="B9">
        <v>2</v>
      </c>
      <c r="C9" s="1" t="str">
        <f t="shared" si="0"/>
        <v>0</v>
      </c>
      <c r="D9" s="1" t="str">
        <f t="shared" si="0"/>
        <v>1</v>
      </c>
      <c r="E9" s="1" t="str">
        <f t="shared" si="0"/>
        <v>1</v>
      </c>
      <c r="F9" s="1" t="str">
        <f t="shared" si="0"/>
        <v>0</v>
      </c>
      <c r="G9" s="1" t="str">
        <f t="shared" si="0"/>
        <v>0</v>
      </c>
      <c r="H9" s="1" t="str">
        <f t="shared" si="0"/>
        <v>1</v>
      </c>
      <c r="I9" s="6" t="str">
        <f t="shared" ref="I9:I15" si="1">CONCATENATE(C9,D9,E9,F9,G9,H9)</f>
        <v>011001</v>
      </c>
    </row>
    <row r="10" spans="1:13">
      <c r="B10">
        <v>3</v>
      </c>
      <c r="C10" s="1" t="str">
        <f t="shared" si="0"/>
        <v>0</v>
      </c>
      <c r="D10" s="1" t="str">
        <f t="shared" si="0"/>
        <v>1</v>
      </c>
      <c r="E10" s="1" t="str">
        <f t="shared" si="0"/>
        <v>0</v>
      </c>
      <c r="F10" s="1" t="str">
        <f t="shared" si="0"/>
        <v>1</v>
      </c>
      <c r="G10" s="1" t="str">
        <f t="shared" si="0"/>
        <v>0</v>
      </c>
      <c r="H10" s="1" t="str">
        <f t="shared" si="0"/>
        <v>0</v>
      </c>
      <c r="I10" s="6" t="str">
        <f t="shared" si="1"/>
        <v>010100</v>
      </c>
    </row>
    <row r="11" spans="1:13">
      <c r="B11">
        <v>4</v>
      </c>
      <c r="C11" s="1" t="str">
        <f t="shared" si="0"/>
        <v>0</v>
      </c>
      <c r="D11" s="1" t="str">
        <f t="shared" si="0"/>
        <v>0</v>
      </c>
      <c r="E11" s="1" t="str">
        <f t="shared" si="0"/>
        <v>1</v>
      </c>
      <c r="F11" s="1" t="str">
        <f t="shared" si="0"/>
        <v>1</v>
      </c>
      <c r="G11" s="1" t="str">
        <f t="shared" si="0"/>
        <v>0</v>
      </c>
      <c r="H11" s="1" t="str">
        <f t="shared" si="0"/>
        <v>1</v>
      </c>
      <c r="I11" s="6" t="str">
        <f t="shared" si="1"/>
        <v>001101</v>
      </c>
    </row>
    <row r="12" spans="1:13">
      <c r="B12">
        <v>5</v>
      </c>
      <c r="C12" s="1" t="str">
        <f t="shared" si="0"/>
        <v>0</v>
      </c>
      <c r="D12" s="1" t="str">
        <f t="shared" si="0"/>
        <v>1</v>
      </c>
      <c r="E12" s="1" t="str">
        <f t="shared" si="0"/>
        <v>1</v>
      </c>
      <c r="F12" s="1" t="str">
        <f t="shared" si="0"/>
        <v>0</v>
      </c>
      <c r="G12" s="1" t="str">
        <f t="shared" si="0"/>
        <v>0</v>
      </c>
      <c r="H12" s="1" t="str">
        <f t="shared" si="0"/>
        <v>1</v>
      </c>
      <c r="I12" s="6" t="str">
        <f t="shared" si="1"/>
        <v>011001</v>
      </c>
    </row>
    <row r="13" spans="1:13">
      <c r="B13">
        <v>6</v>
      </c>
      <c r="C13" s="1" t="str">
        <f t="shared" si="0"/>
        <v>0</v>
      </c>
      <c r="D13" s="1" t="str">
        <f t="shared" si="0"/>
        <v>1</v>
      </c>
      <c r="E13" s="1" t="str">
        <f t="shared" si="0"/>
        <v>0</v>
      </c>
      <c r="F13" s="1" t="str">
        <f t="shared" si="0"/>
        <v>1</v>
      </c>
      <c r="G13" s="1" t="str">
        <f t="shared" si="0"/>
        <v>1</v>
      </c>
      <c r="H13" s="1" t="str">
        <f t="shared" si="0"/>
        <v>0</v>
      </c>
      <c r="I13" s="6" t="str">
        <f t="shared" si="1"/>
        <v>010110</v>
      </c>
    </row>
    <row r="14" spans="1:13">
      <c r="B14">
        <v>7</v>
      </c>
      <c r="C14" s="1" t="str">
        <f t="shared" si="0"/>
        <v>1</v>
      </c>
      <c r="D14" s="1" t="str">
        <f t="shared" si="0"/>
        <v>0</v>
      </c>
      <c r="E14" s="1" t="str">
        <f t="shared" si="0"/>
        <v>0</v>
      </c>
      <c r="F14" s="1" t="str">
        <f t="shared" si="0"/>
        <v>1</v>
      </c>
      <c r="G14" s="1" t="str">
        <f t="shared" si="0"/>
        <v>0</v>
      </c>
      <c r="H14" s="1" t="str">
        <f t="shared" si="0"/>
        <v>0</v>
      </c>
      <c r="I14" s="6" t="str">
        <f t="shared" si="1"/>
        <v>100100</v>
      </c>
    </row>
    <row r="15" spans="1:13">
      <c r="B15">
        <v>8</v>
      </c>
      <c r="C15" s="1" t="str">
        <f t="shared" si="0"/>
        <v>0</v>
      </c>
      <c r="D15" s="1" t="str">
        <f t="shared" si="0"/>
        <v>0</v>
      </c>
      <c r="E15" s="1" t="str">
        <f t="shared" si="0"/>
        <v>0</v>
      </c>
      <c r="F15" s="1" t="str">
        <f t="shared" si="0"/>
        <v>0</v>
      </c>
      <c r="G15" s="1" t="str">
        <f t="shared" si="0"/>
        <v>0</v>
      </c>
      <c r="H15" s="1" t="str">
        <f t="shared" si="0"/>
        <v>0</v>
      </c>
      <c r="I15" s="6" t="str">
        <f t="shared" si="1"/>
        <v>000000</v>
      </c>
    </row>
    <row r="16" spans="1:13">
      <c r="A16" t="str">
        <f>A8</f>
        <v>E(R10)</v>
      </c>
      <c r="B16" t="str">
        <f>CONCATENATE(I8,I9,I10,I11,I12,I13,I14,I15)</f>
        <v>001101011001010100001101011001010110100100000000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K11</v>
      </c>
      <c r="B19" t="str">
        <f>MID($C$5,B18,1)</f>
        <v>0</v>
      </c>
      <c r="C19" t="str">
        <f t="shared" ref="C19:AW19" si="2">MID($C$5,C18,1)</f>
        <v>1</v>
      </c>
      <c r="D19" t="str">
        <f t="shared" si="2"/>
        <v>1</v>
      </c>
      <c r="E19" t="str">
        <f t="shared" si="2"/>
        <v>0</v>
      </c>
      <c r="F19" t="str">
        <f t="shared" si="2"/>
        <v>1</v>
      </c>
      <c r="G19" t="str">
        <f t="shared" si="2"/>
        <v>1</v>
      </c>
      <c r="H19" t="str">
        <f t="shared" si="2"/>
        <v>0</v>
      </c>
      <c r="I19" t="str">
        <f t="shared" si="2"/>
        <v>1</v>
      </c>
      <c r="J19" t="str">
        <f t="shared" si="2"/>
        <v>0</v>
      </c>
      <c r="K19" t="str">
        <f t="shared" si="2"/>
        <v>1</v>
      </c>
      <c r="L19" t="str">
        <f t="shared" si="2"/>
        <v>0</v>
      </c>
      <c r="M19" t="str">
        <f t="shared" si="2"/>
        <v>1</v>
      </c>
      <c r="N19" t="str">
        <f t="shared" si="2"/>
        <v>0</v>
      </c>
      <c r="O19" t="str">
        <f t="shared" si="2"/>
        <v>1</v>
      </c>
      <c r="P19" t="str">
        <f t="shared" si="2"/>
        <v>0</v>
      </c>
      <c r="Q19" t="str">
        <f t="shared" si="2"/>
        <v>1</v>
      </c>
      <c r="R19" t="str">
        <f t="shared" si="2"/>
        <v>0</v>
      </c>
      <c r="S19" t="str">
        <f t="shared" si="2"/>
        <v>1</v>
      </c>
      <c r="T19" t="str">
        <f t="shared" si="2"/>
        <v>1</v>
      </c>
      <c r="U19" t="str">
        <f t="shared" si="2"/>
        <v>0</v>
      </c>
      <c r="V19" t="str">
        <f t="shared" si="2"/>
        <v>0</v>
      </c>
      <c r="W19" t="str">
        <f t="shared" si="2"/>
        <v>0</v>
      </c>
      <c r="X19" t="str">
        <f t="shared" si="2"/>
        <v>0</v>
      </c>
      <c r="Y19" t="str">
        <f t="shared" si="2"/>
        <v>0</v>
      </c>
      <c r="Z19" t="str">
        <f t="shared" si="2"/>
        <v>1</v>
      </c>
      <c r="AA19" t="str">
        <f t="shared" si="2"/>
        <v>0</v>
      </c>
      <c r="AB19" t="str">
        <f t="shared" si="2"/>
        <v>1</v>
      </c>
      <c r="AC19" t="str">
        <f t="shared" si="2"/>
        <v>0</v>
      </c>
      <c r="AD19" t="str">
        <f t="shared" si="2"/>
        <v>1</v>
      </c>
      <c r="AE19" t="str">
        <f t="shared" si="2"/>
        <v>1</v>
      </c>
      <c r="AF19" t="str">
        <f t="shared" si="2"/>
        <v>1</v>
      </c>
      <c r="AG19" t="str">
        <f t="shared" si="2"/>
        <v>1</v>
      </c>
      <c r="AH19" t="str">
        <f t="shared" si="2"/>
        <v>0</v>
      </c>
      <c r="AI19" t="str">
        <f t="shared" si="2"/>
        <v>1</v>
      </c>
      <c r="AJ19" t="str">
        <f t="shared" si="2"/>
        <v>1</v>
      </c>
      <c r="AK19" t="str">
        <f t="shared" si="2"/>
        <v>1</v>
      </c>
      <c r="AL19" t="str">
        <f t="shared" si="2"/>
        <v>1</v>
      </c>
      <c r="AM19" t="str">
        <f t="shared" si="2"/>
        <v>1</v>
      </c>
      <c r="AN19" t="str">
        <f t="shared" si="2"/>
        <v>0</v>
      </c>
      <c r="AO19" t="str">
        <f t="shared" si="2"/>
        <v>0</v>
      </c>
      <c r="AP19" t="str">
        <f t="shared" si="2"/>
        <v>1</v>
      </c>
      <c r="AQ19" t="str">
        <f t="shared" si="2"/>
        <v>0</v>
      </c>
      <c r="AR19" t="str">
        <f t="shared" si="2"/>
        <v>1</v>
      </c>
      <c r="AS19" t="str">
        <f t="shared" si="2"/>
        <v>0</v>
      </c>
      <c r="AT19" t="str">
        <f t="shared" si="2"/>
        <v>0</v>
      </c>
      <c r="AU19" t="str">
        <f t="shared" si="2"/>
        <v>1</v>
      </c>
      <c r="AV19" t="str">
        <f t="shared" si="2"/>
        <v>0</v>
      </c>
      <c r="AW19" t="str">
        <f t="shared" si="2"/>
        <v>1</v>
      </c>
    </row>
    <row r="20" spans="1:49">
      <c r="A20" t="str">
        <f>A16</f>
        <v>E(R10)</v>
      </c>
      <c r="B20" t="str">
        <f>MID($B$16,B18,1)</f>
        <v>0</v>
      </c>
      <c r="C20" t="str">
        <f t="shared" ref="C20:AW20" si="3">MID($B$16,C18,1)</f>
        <v>0</v>
      </c>
      <c r="D20" t="str">
        <f t="shared" si="3"/>
        <v>1</v>
      </c>
      <c r="E20" t="str">
        <f t="shared" si="3"/>
        <v>1</v>
      </c>
      <c r="F20" t="str">
        <f t="shared" si="3"/>
        <v>0</v>
      </c>
      <c r="G20" t="str">
        <f t="shared" si="3"/>
        <v>1</v>
      </c>
      <c r="H20" t="str">
        <f t="shared" si="3"/>
        <v>0</v>
      </c>
      <c r="I20" t="str">
        <f t="shared" si="3"/>
        <v>1</v>
      </c>
      <c r="J20" t="str">
        <f t="shared" si="3"/>
        <v>1</v>
      </c>
      <c r="K20" t="str">
        <f t="shared" si="3"/>
        <v>0</v>
      </c>
      <c r="L20" t="str">
        <f t="shared" si="3"/>
        <v>0</v>
      </c>
      <c r="M20" t="str">
        <f t="shared" si="3"/>
        <v>1</v>
      </c>
      <c r="N20" t="str">
        <f t="shared" si="3"/>
        <v>0</v>
      </c>
      <c r="O20" t="str">
        <f t="shared" si="3"/>
        <v>1</v>
      </c>
      <c r="P20" t="str">
        <f t="shared" si="3"/>
        <v>0</v>
      </c>
      <c r="Q20" t="str">
        <f t="shared" si="3"/>
        <v>1</v>
      </c>
      <c r="R20" t="str">
        <f t="shared" si="3"/>
        <v>0</v>
      </c>
      <c r="S20" t="str">
        <f t="shared" si="3"/>
        <v>0</v>
      </c>
      <c r="T20" t="str">
        <f t="shared" si="3"/>
        <v>0</v>
      </c>
      <c r="U20" t="str">
        <f t="shared" si="3"/>
        <v>0</v>
      </c>
      <c r="V20" t="str">
        <f t="shared" si="3"/>
        <v>1</v>
      </c>
      <c r="W20" t="str">
        <f t="shared" si="3"/>
        <v>1</v>
      </c>
      <c r="X20" t="str">
        <f t="shared" si="3"/>
        <v>0</v>
      </c>
      <c r="Y20" t="str">
        <f t="shared" si="3"/>
        <v>1</v>
      </c>
      <c r="Z20" t="str">
        <f t="shared" si="3"/>
        <v>0</v>
      </c>
      <c r="AA20" t="str">
        <f t="shared" si="3"/>
        <v>1</v>
      </c>
      <c r="AB20" t="str">
        <f t="shared" si="3"/>
        <v>1</v>
      </c>
      <c r="AC20" t="str">
        <f t="shared" si="3"/>
        <v>0</v>
      </c>
      <c r="AD20" t="str">
        <f t="shared" si="3"/>
        <v>0</v>
      </c>
      <c r="AE20" t="str">
        <f t="shared" si="3"/>
        <v>1</v>
      </c>
      <c r="AF20" t="str">
        <f t="shared" si="3"/>
        <v>0</v>
      </c>
      <c r="AG20" t="str">
        <f t="shared" si="3"/>
        <v>1</v>
      </c>
      <c r="AH20" t="str">
        <f t="shared" si="3"/>
        <v>0</v>
      </c>
      <c r="AI20" t="str">
        <f t="shared" si="3"/>
        <v>1</v>
      </c>
      <c r="AJ20" t="str">
        <f t="shared" si="3"/>
        <v>1</v>
      </c>
      <c r="AK20" t="str">
        <f t="shared" si="3"/>
        <v>0</v>
      </c>
      <c r="AL20" t="str">
        <f t="shared" si="3"/>
        <v>1</v>
      </c>
      <c r="AM20" t="str">
        <f t="shared" si="3"/>
        <v>0</v>
      </c>
      <c r="AN20" t="str">
        <f t="shared" si="3"/>
        <v>0</v>
      </c>
      <c r="AO20" t="str">
        <f t="shared" si="3"/>
        <v>1</v>
      </c>
      <c r="AP20" t="str">
        <f t="shared" si="3"/>
        <v>0</v>
      </c>
      <c r="AQ20" t="str">
        <f t="shared" si="3"/>
        <v>0</v>
      </c>
      <c r="AR20" t="str">
        <f t="shared" si="3"/>
        <v>0</v>
      </c>
      <c r="AS20" t="str">
        <f t="shared" si="3"/>
        <v>0</v>
      </c>
      <c r="AT20" t="str">
        <f t="shared" si="3"/>
        <v>0</v>
      </c>
      <c r="AU20" t="str">
        <f t="shared" si="3"/>
        <v>0</v>
      </c>
      <c r="AV20" t="str">
        <f t="shared" si="3"/>
        <v>0</v>
      </c>
      <c r="AW20" t="str">
        <f t="shared" si="3"/>
        <v>0</v>
      </c>
    </row>
    <row r="21" spans="1:49">
      <c r="A21" s="6" t="str">
        <f>CONCATENATE(A19," + ",A20)</f>
        <v>K11 + E(R10)</v>
      </c>
      <c r="B21" s="1">
        <f>IF(B19=B20,0,1)</f>
        <v>0</v>
      </c>
      <c r="C21" s="1">
        <f t="shared" ref="C21:AW21" si="4">IF(C19=C20,0,1)</f>
        <v>1</v>
      </c>
      <c r="D21" s="1">
        <f t="shared" si="4"/>
        <v>0</v>
      </c>
      <c r="E21" s="1">
        <f t="shared" si="4"/>
        <v>1</v>
      </c>
      <c r="F21" s="1">
        <f t="shared" si="4"/>
        <v>1</v>
      </c>
      <c r="G21" s="1">
        <f t="shared" si="4"/>
        <v>0</v>
      </c>
      <c r="H21" s="1">
        <f t="shared" si="4"/>
        <v>0</v>
      </c>
      <c r="I21" s="1">
        <f t="shared" si="4"/>
        <v>0</v>
      </c>
      <c r="J21" s="1">
        <f t="shared" si="4"/>
        <v>1</v>
      </c>
      <c r="K21" s="1">
        <f t="shared" si="4"/>
        <v>1</v>
      </c>
      <c r="L21" s="1">
        <f t="shared" si="4"/>
        <v>0</v>
      </c>
      <c r="M21" s="1">
        <f t="shared" si="4"/>
        <v>0</v>
      </c>
      <c r="N21" s="1">
        <f t="shared" si="4"/>
        <v>0</v>
      </c>
      <c r="O21" s="1">
        <f t="shared" si="4"/>
        <v>0</v>
      </c>
      <c r="P21" s="1">
        <f t="shared" si="4"/>
        <v>0</v>
      </c>
      <c r="Q21" s="1">
        <f t="shared" si="4"/>
        <v>0</v>
      </c>
      <c r="R21" s="1">
        <f t="shared" si="4"/>
        <v>0</v>
      </c>
      <c r="S21" s="1">
        <f t="shared" si="4"/>
        <v>1</v>
      </c>
      <c r="T21" s="1">
        <f t="shared" si="4"/>
        <v>1</v>
      </c>
      <c r="U21" s="1">
        <f t="shared" si="4"/>
        <v>0</v>
      </c>
      <c r="V21" s="1">
        <f t="shared" si="4"/>
        <v>1</v>
      </c>
      <c r="W21" s="1">
        <f t="shared" si="4"/>
        <v>1</v>
      </c>
      <c r="X21" s="1">
        <f t="shared" si="4"/>
        <v>0</v>
      </c>
      <c r="Y21" s="1">
        <f t="shared" si="4"/>
        <v>1</v>
      </c>
      <c r="Z21" s="1">
        <f t="shared" si="4"/>
        <v>1</v>
      </c>
      <c r="AA21" s="1">
        <f t="shared" si="4"/>
        <v>1</v>
      </c>
      <c r="AB21" s="1">
        <f t="shared" si="4"/>
        <v>0</v>
      </c>
      <c r="AC21" s="1">
        <f t="shared" si="4"/>
        <v>0</v>
      </c>
      <c r="AD21" s="1">
        <f t="shared" si="4"/>
        <v>1</v>
      </c>
      <c r="AE21" s="1">
        <f t="shared" si="4"/>
        <v>0</v>
      </c>
      <c r="AF21" s="1">
        <f t="shared" si="4"/>
        <v>1</v>
      </c>
      <c r="AG21" s="1">
        <f t="shared" si="4"/>
        <v>0</v>
      </c>
      <c r="AH21" s="1">
        <f t="shared" si="4"/>
        <v>0</v>
      </c>
      <c r="AI21" s="1">
        <f t="shared" si="4"/>
        <v>0</v>
      </c>
      <c r="AJ21" s="1">
        <f t="shared" si="4"/>
        <v>0</v>
      </c>
      <c r="AK21" s="1">
        <f t="shared" si="4"/>
        <v>1</v>
      </c>
      <c r="AL21" s="1">
        <f t="shared" si="4"/>
        <v>0</v>
      </c>
      <c r="AM21" s="1">
        <f t="shared" si="4"/>
        <v>1</v>
      </c>
      <c r="AN21" s="1">
        <f t="shared" si="4"/>
        <v>0</v>
      </c>
      <c r="AO21" s="1">
        <f t="shared" si="4"/>
        <v>1</v>
      </c>
      <c r="AP21" s="1">
        <f t="shared" si="4"/>
        <v>1</v>
      </c>
      <c r="AQ21" s="1">
        <f t="shared" si="4"/>
        <v>0</v>
      </c>
      <c r="AR21" s="1">
        <f t="shared" si="4"/>
        <v>1</v>
      </c>
      <c r="AS21" s="1">
        <f t="shared" si="4"/>
        <v>0</v>
      </c>
      <c r="AT21" s="1">
        <f t="shared" si="4"/>
        <v>0</v>
      </c>
      <c r="AU21" s="1">
        <f t="shared" si="4"/>
        <v>1</v>
      </c>
      <c r="AV21" s="1">
        <f t="shared" si="4"/>
        <v>0</v>
      </c>
      <c r="AW21" s="1">
        <f t="shared" si="4"/>
        <v>1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1</v>
      </c>
      <c r="D23">
        <f t="shared" si="5"/>
        <v>0</v>
      </c>
      <c r="E23">
        <f t="shared" si="5"/>
        <v>1</v>
      </c>
      <c r="F23">
        <f t="shared" si="5"/>
        <v>1</v>
      </c>
      <c r="G23">
        <f t="shared" si="5"/>
        <v>0</v>
      </c>
      <c r="H23" t="str">
        <f>CONCATENATE(B23,G23)</f>
        <v>00</v>
      </c>
      <c r="I23" t="str">
        <f>CONCATENATE(C23,D23,E23,F23)</f>
        <v>1011</v>
      </c>
      <c r="J23">
        <f>BIN2DEC(H23)</f>
        <v>0</v>
      </c>
      <c r="K23">
        <f>BIN2DEC(I23)</f>
        <v>11</v>
      </c>
      <c r="L23">
        <f>VLOOKUP(J23,S1_BOX,K23+2,FALSE)</f>
        <v>12</v>
      </c>
      <c r="M23" t="str">
        <f>DEC2BIN(L23,4)</f>
        <v>1100</v>
      </c>
    </row>
    <row r="24" spans="1:49">
      <c r="A24" t="s">
        <v>155</v>
      </c>
      <c r="B24">
        <f>H21</f>
        <v>0</v>
      </c>
      <c r="C24">
        <f t="shared" ref="C24:G24" si="6">I21</f>
        <v>0</v>
      </c>
      <c r="D24">
        <f t="shared" si="6"/>
        <v>1</v>
      </c>
      <c r="E24">
        <f t="shared" si="6"/>
        <v>1</v>
      </c>
      <c r="F24">
        <f t="shared" si="6"/>
        <v>0</v>
      </c>
      <c r="G24">
        <f t="shared" si="6"/>
        <v>0</v>
      </c>
      <c r="H24" t="str">
        <f t="shared" ref="H24:H30" si="7">CONCATENATE(B24,G24)</f>
        <v>00</v>
      </c>
      <c r="I24" t="str">
        <f t="shared" ref="I24:I30" si="8">CONCATENATE(C24,D24,E24,F24)</f>
        <v>0110</v>
      </c>
      <c r="J24">
        <f t="shared" ref="J24:K30" si="9">BIN2DEC(H24)</f>
        <v>0</v>
      </c>
      <c r="K24">
        <f t="shared" si="9"/>
        <v>6</v>
      </c>
      <c r="L24">
        <f>VLOOKUP(J24,S2_BOX,K24+2,FALSE)</f>
        <v>3</v>
      </c>
      <c r="M24" t="str">
        <f t="shared" ref="M24:M30" si="10">DEC2BIN(L24,4)</f>
        <v>0011</v>
      </c>
    </row>
    <row r="25" spans="1:49">
      <c r="A25" t="s">
        <v>156</v>
      </c>
      <c r="B25">
        <f>N21</f>
        <v>0</v>
      </c>
      <c r="C25">
        <f t="shared" ref="C25:G25" si="11">O21</f>
        <v>0</v>
      </c>
      <c r="D25">
        <f t="shared" si="11"/>
        <v>0</v>
      </c>
      <c r="E25">
        <f t="shared" si="11"/>
        <v>0</v>
      </c>
      <c r="F25">
        <f t="shared" si="11"/>
        <v>0</v>
      </c>
      <c r="G25">
        <f t="shared" si="11"/>
        <v>1</v>
      </c>
      <c r="H25" t="str">
        <f t="shared" si="7"/>
        <v>01</v>
      </c>
      <c r="I25" t="str">
        <f t="shared" si="8"/>
        <v>0000</v>
      </c>
      <c r="J25">
        <f t="shared" si="9"/>
        <v>1</v>
      </c>
      <c r="K25">
        <f t="shared" si="9"/>
        <v>0</v>
      </c>
      <c r="L25">
        <f>VLOOKUP(J25,S3_BOX,K25+2,FALSE)</f>
        <v>13</v>
      </c>
      <c r="M25" t="str">
        <f t="shared" si="10"/>
        <v>1101</v>
      </c>
    </row>
    <row r="26" spans="1:49">
      <c r="A26" t="s">
        <v>157</v>
      </c>
      <c r="B26">
        <f>T21</f>
        <v>1</v>
      </c>
      <c r="C26">
        <f t="shared" ref="C26:G26" si="12">U21</f>
        <v>0</v>
      </c>
      <c r="D26">
        <f t="shared" si="12"/>
        <v>1</v>
      </c>
      <c r="E26">
        <f t="shared" si="12"/>
        <v>1</v>
      </c>
      <c r="F26">
        <f t="shared" si="12"/>
        <v>0</v>
      </c>
      <c r="G26">
        <f t="shared" si="12"/>
        <v>1</v>
      </c>
      <c r="H26" t="str">
        <f t="shared" si="7"/>
        <v>11</v>
      </c>
      <c r="I26" t="str">
        <f t="shared" si="8"/>
        <v>0110</v>
      </c>
      <c r="J26">
        <f t="shared" si="9"/>
        <v>3</v>
      </c>
      <c r="K26">
        <f t="shared" si="9"/>
        <v>6</v>
      </c>
      <c r="L26">
        <f>VLOOKUP(J26,S4_BOX,K26+2,FALSE)</f>
        <v>13</v>
      </c>
      <c r="M26" t="str">
        <f t="shared" si="10"/>
        <v>1101</v>
      </c>
    </row>
    <row r="27" spans="1:49">
      <c r="A27" t="s">
        <v>158</v>
      </c>
      <c r="B27">
        <f>Z21</f>
        <v>1</v>
      </c>
      <c r="C27">
        <f t="shared" ref="C27:G27" si="13">AA21</f>
        <v>1</v>
      </c>
      <c r="D27">
        <f t="shared" si="13"/>
        <v>0</v>
      </c>
      <c r="E27">
        <f t="shared" si="13"/>
        <v>0</v>
      </c>
      <c r="F27">
        <f t="shared" si="13"/>
        <v>1</v>
      </c>
      <c r="G27">
        <f t="shared" si="13"/>
        <v>0</v>
      </c>
      <c r="H27" t="str">
        <f t="shared" si="7"/>
        <v>10</v>
      </c>
      <c r="I27" t="str">
        <f t="shared" si="8"/>
        <v>1001</v>
      </c>
      <c r="J27">
        <f t="shared" si="9"/>
        <v>2</v>
      </c>
      <c r="K27">
        <f t="shared" si="9"/>
        <v>9</v>
      </c>
      <c r="L27">
        <f>VLOOKUP(J27,S5_BOX,K27+2,FALSE)</f>
        <v>9</v>
      </c>
      <c r="M27" t="str">
        <f t="shared" si="10"/>
        <v>1001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0</v>
      </c>
      <c r="E28">
        <f t="shared" si="14"/>
        <v>0</v>
      </c>
      <c r="F28">
        <f t="shared" si="14"/>
        <v>0</v>
      </c>
      <c r="G28">
        <f t="shared" si="14"/>
        <v>1</v>
      </c>
      <c r="H28" t="str">
        <f t="shared" si="7"/>
        <v>11</v>
      </c>
      <c r="I28" t="str">
        <f t="shared" si="8"/>
        <v>0000</v>
      </c>
      <c r="J28">
        <f t="shared" si="9"/>
        <v>3</v>
      </c>
      <c r="K28">
        <f t="shared" si="9"/>
        <v>0</v>
      </c>
      <c r="L28">
        <f>VLOOKUP(J28,S6_BOX,K28+2,FALSE)</f>
        <v>4</v>
      </c>
      <c r="M28" t="str">
        <f t="shared" si="10"/>
        <v>0100</v>
      </c>
    </row>
    <row r="29" spans="1:49">
      <c r="A29" t="s">
        <v>160</v>
      </c>
      <c r="B29">
        <f>AL21</f>
        <v>0</v>
      </c>
      <c r="C29">
        <f t="shared" ref="C29:G29" si="15">AM21</f>
        <v>1</v>
      </c>
      <c r="D29">
        <f t="shared" si="15"/>
        <v>0</v>
      </c>
      <c r="E29">
        <f t="shared" si="15"/>
        <v>1</v>
      </c>
      <c r="F29">
        <f t="shared" si="15"/>
        <v>1</v>
      </c>
      <c r="G29">
        <f t="shared" si="15"/>
        <v>0</v>
      </c>
      <c r="H29" t="str">
        <f t="shared" si="7"/>
        <v>00</v>
      </c>
      <c r="I29" t="str">
        <f t="shared" si="8"/>
        <v>1011</v>
      </c>
      <c r="J29">
        <f t="shared" si="9"/>
        <v>0</v>
      </c>
      <c r="K29">
        <f t="shared" si="9"/>
        <v>11</v>
      </c>
      <c r="L29">
        <f>VLOOKUP(J29,S7_BOX,K29+2,FALSE)</f>
        <v>7</v>
      </c>
      <c r="M29" t="str">
        <f t="shared" si="10"/>
        <v>0111</v>
      </c>
    </row>
    <row r="30" spans="1:49">
      <c r="A30" t="s">
        <v>161</v>
      </c>
      <c r="B30">
        <f>AR21</f>
        <v>1</v>
      </c>
      <c r="C30">
        <f t="shared" ref="C30:G30" si="16">AS21</f>
        <v>0</v>
      </c>
      <c r="D30">
        <f t="shared" si="16"/>
        <v>0</v>
      </c>
      <c r="E30">
        <f t="shared" si="16"/>
        <v>1</v>
      </c>
      <c r="F30">
        <f t="shared" si="16"/>
        <v>0</v>
      </c>
      <c r="G30">
        <f t="shared" si="16"/>
        <v>1</v>
      </c>
      <c r="H30" t="str">
        <f t="shared" si="7"/>
        <v>11</v>
      </c>
      <c r="I30" t="str">
        <f t="shared" si="8"/>
        <v>0010</v>
      </c>
      <c r="J30">
        <f t="shared" si="9"/>
        <v>3</v>
      </c>
      <c r="K30">
        <f t="shared" si="9"/>
        <v>2</v>
      </c>
      <c r="L30">
        <f>VLOOKUP(J30,S8_BOX,K30+2,FALSE)</f>
        <v>14</v>
      </c>
      <c r="M30" t="str">
        <f t="shared" si="10"/>
        <v>1110</v>
      </c>
    </row>
    <row r="31" spans="1:49">
      <c r="A31" t="s">
        <v>162</v>
      </c>
      <c r="B31" t="str">
        <f>CONCATENATE(M23,M24,M25,M26,M27,M28,M29,M30)</f>
        <v>11000011110111011001010001111110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1</v>
      </c>
      <c r="E34" t="str">
        <f t="shared" si="17"/>
        <v>1</v>
      </c>
      <c r="F34" t="str">
        <f t="shared" si="17"/>
        <v>0</v>
      </c>
      <c r="G34" t="str">
        <f>CONCATENATE(C34,D34,E34,F34)</f>
        <v>1110</v>
      </c>
    </row>
    <row r="35" spans="1:33">
      <c r="B35">
        <v>2</v>
      </c>
      <c r="C35" t="str">
        <f t="shared" si="17"/>
        <v>1</v>
      </c>
      <c r="D35" t="str">
        <f t="shared" si="17"/>
        <v>1</v>
      </c>
      <c r="E35" t="str">
        <f t="shared" si="17"/>
        <v>1</v>
      </c>
      <c r="F35" t="str">
        <f t="shared" si="17"/>
        <v>1</v>
      </c>
      <c r="G35" t="str">
        <f t="shared" ref="G35:G41" si="18">CONCATENATE(C35,D35,E35,F35)</f>
        <v>1111</v>
      </c>
    </row>
    <row r="36" spans="1:33">
      <c r="B36">
        <v>3</v>
      </c>
      <c r="C36" t="str">
        <f t="shared" si="17"/>
        <v>1</v>
      </c>
      <c r="D36" t="str">
        <f t="shared" si="17"/>
        <v>0</v>
      </c>
      <c r="E36" t="str">
        <f t="shared" si="17"/>
        <v>0</v>
      </c>
      <c r="F36" t="str">
        <f t="shared" si="17"/>
        <v>1</v>
      </c>
      <c r="G36" t="str">
        <f t="shared" si="18"/>
        <v>1001</v>
      </c>
    </row>
    <row r="37" spans="1:33">
      <c r="B37">
        <v>4</v>
      </c>
      <c r="C37" t="str">
        <f t="shared" si="17"/>
        <v>0</v>
      </c>
      <c r="D37" t="str">
        <f t="shared" si="17"/>
        <v>0</v>
      </c>
      <c r="E37" t="str">
        <f t="shared" si="17"/>
        <v>1</v>
      </c>
      <c r="F37" t="str">
        <f t="shared" si="17"/>
        <v>1</v>
      </c>
      <c r="G37" t="str">
        <f t="shared" si="18"/>
        <v>0011</v>
      </c>
    </row>
    <row r="38" spans="1:33">
      <c r="B38">
        <v>5</v>
      </c>
      <c r="C38" t="str">
        <f t="shared" si="17"/>
        <v>1</v>
      </c>
      <c r="D38" t="str">
        <f t="shared" si="17"/>
        <v>1</v>
      </c>
      <c r="E38" t="str">
        <f t="shared" si="17"/>
        <v>0</v>
      </c>
      <c r="F38" t="str">
        <f t="shared" si="17"/>
        <v>1</v>
      </c>
      <c r="G38" t="str">
        <f t="shared" si="18"/>
        <v>1101</v>
      </c>
    </row>
    <row r="39" spans="1:33">
      <c r="B39">
        <v>6</v>
      </c>
      <c r="C39" t="str">
        <f t="shared" si="17"/>
        <v>0</v>
      </c>
      <c r="D39" t="str">
        <f t="shared" si="17"/>
        <v>1</v>
      </c>
      <c r="E39" t="str">
        <f t="shared" si="17"/>
        <v>0</v>
      </c>
      <c r="F39" t="str">
        <f t="shared" si="17"/>
        <v>1</v>
      </c>
      <c r="G39" t="str">
        <f t="shared" si="18"/>
        <v>0101</v>
      </c>
    </row>
    <row r="40" spans="1:33">
      <c r="B40">
        <v>7</v>
      </c>
      <c r="C40" t="str">
        <f t="shared" si="17"/>
        <v>0</v>
      </c>
      <c r="D40" t="str">
        <f t="shared" si="17"/>
        <v>1</v>
      </c>
      <c r="E40" t="str">
        <f t="shared" si="17"/>
        <v>1</v>
      </c>
      <c r="F40" t="str">
        <f t="shared" si="17"/>
        <v>0</v>
      </c>
      <c r="G40" t="str">
        <f t="shared" si="18"/>
        <v>0110</v>
      </c>
    </row>
    <row r="41" spans="1:33">
      <c r="B41">
        <v>8</v>
      </c>
      <c r="C41" t="str">
        <f t="shared" si="17"/>
        <v>1</v>
      </c>
      <c r="D41" t="str">
        <f t="shared" si="17"/>
        <v>0</v>
      </c>
      <c r="E41" t="str">
        <f t="shared" si="17"/>
        <v>0</v>
      </c>
      <c r="F41" t="str">
        <f t="shared" si="17"/>
        <v>0</v>
      </c>
      <c r="G41" t="str">
        <f t="shared" si="18"/>
        <v>1000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11101111100100111101010101101000</v>
      </c>
    </row>
    <row r="44" spans="1:33">
      <c r="B44" t="str">
        <f>MID($B$43,B42,1)</f>
        <v>1</v>
      </c>
      <c r="C44" t="str">
        <f t="shared" ref="C44:AG44" si="19">MID($B$43,C42,1)</f>
        <v>1</v>
      </c>
      <c r="D44" t="str">
        <f t="shared" si="19"/>
        <v>1</v>
      </c>
      <c r="E44" t="str">
        <f t="shared" si="19"/>
        <v>0</v>
      </c>
      <c r="F44" t="str">
        <f t="shared" si="19"/>
        <v>1</v>
      </c>
      <c r="G44" t="str">
        <f t="shared" si="19"/>
        <v>1</v>
      </c>
      <c r="H44" t="str">
        <f t="shared" si="19"/>
        <v>1</v>
      </c>
      <c r="I44" t="str">
        <f t="shared" si="19"/>
        <v>1</v>
      </c>
      <c r="J44" t="str">
        <f t="shared" si="19"/>
        <v>1</v>
      </c>
      <c r="K44" t="str">
        <f t="shared" si="19"/>
        <v>0</v>
      </c>
      <c r="L44" t="str">
        <f t="shared" si="19"/>
        <v>0</v>
      </c>
      <c r="M44" t="str">
        <f t="shared" si="19"/>
        <v>1</v>
      </c>
      <c r="N44" t="str">
        <f t="shared" si="19"/>
        <v>0</v>
      </c>
      <c r="O44" t="str">
        <f t="shared" si="19"/>
        <v>0</v>
      </c>
      <c r="P44" t="str">
        <f t="shared" si="19"/>
        <v>1</v>
      </c>
      <c r="Q44" t="str">
        <f t="shared" si="19"/>
        <v>1</v>
      </c>
      <c r="R44" t="str">
        <f t="shared" si="19"/>
        <v>1</v>
      </c>
      <c r="S44" t="str">
        <f t="shared" si="19"/>
        <v>1</v>
      </c>
      <c r="T44" t="str">
        <f t="shared" si="19"/>
        <v>0</v>
      </c>
      <c r="U44" t="str">
        <f t="shared" si="19"/>
        <v>1</v>
      </c>
      <c r="V44" t="str">
        <f t="shared" si="19"/>
        <v>0</v>
      </c>
      <c r="W44" t="str">
        <f t="shared" si="19"/>
        <v>1</v>
      </c>
      <c r="X44" t="str">
        <f t="shared" si="19"/>
        <v>0</v>
      </c>
      <c r="Y44" t="str">
        <f t="shared" si="19"/>
        <v>1</v>
      </c>
      <c r="Z44" t="str">
        <f t="shared" si="19"/>
        <v>0</v>
      </c>
      <c r="AA44" t="str">
        <f t="shared" si="19"/>
        <v>1</v>
      </c>
      <c r="AB44" t="str">
        <f t="shared" si="19"/>
        <v>1</v>
      </c>
      <c r="AC44" t="str">
        <f t="shared" si="19"/>
        <v>0</v>
      </c>
      <c r="AD44" t="str">
        <f t="shared" si="19"/>
        <v>1</v>
      </c>
      <c r="AE44" t="str">
        <f t="shared" si="19"/>
        <v>0</v>
      </c>
      <c r="AF44" t="str">
        <f t="shared" si="19"/>
        <v>0</v>
      </c>
      <c r="AG44" t="str">
        <f t="shared" si="19"/>
        <v>0</v>
      </c>
    </row>
    <row r="45" spans="1:33">
      <c r="A45" t="str">
        <f>CONCATENATE("L",C4-1)</f>
        <v>L10</v>
      </c>
      <c r="B45" s="8" t="str">
        <f>'R10'!C6</f>
        <v>00010000101011111001110100110111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0</v>
      </c>
      <c r="E46" t="str">
        <f t="shared" si="20"/>
        <v>1</v>
      </c>
      <c r="F46" t="str">
        <f t="shared" si="20"/>
        <v>0</v>
      </c>
      <c r="G46" t="str">
        <f t="shared" si="20"/>
        <v>0</v>
      </c>
      <c r="H46" t="str">
        <f t="shared" si="20"/>
        <v>0</v>
      </c>
      <c r="I46" t="str">
        <f t="shared" si="20"/>
        <v>0</v>
      </c>
      <c r="J46" t="str">
        <f t="shared" si="20"/>
        <v>1</v>
      </c>
      <c r="K46" t="str">
        <f t="shared" si="20"/>
        <v>0</v>
      </c>
      <c r="L46" t="str">
        <f t="shared" si="20"/>
        <v>1</v>
      </c>
      <c r="M46" t="str">
        <f t="shared" si="20"/>
        <v>0</v>
      </c>
      <c r="N46" t="str">
        <f t="shared" si="20"/>
        <v>1</v>
      </c>
      <c r="O46" t="str">
        <f t="shared" si="20"/>
        <v>1</v>
      </c>
      <c r="P46" t="str">
        <f t="shared" si="20"/>
        <v>1</v>
      </c>
      <c r="Q46" t="str">
        <f t="shared" si="20"/>
        <v>1</v>
      </c>
      <c r="R46" t="str">
        <f t="shared" si="20"/>
        <v>1</v>
      </c>
      <c r="S46" t="str">
        <f t="shared" si="20"/>
        <v>0</v>
      </c>
      <c r="T46" t="str">
        <f t="shared" si="20"/>
        <v>0</v>
      </c>
      <c r="U46" t="str">
        <f t="shared" si="20"/>
        <v>1</v>
      </c>
      <c r="V46" t="str">
        <f t="shared" si="20"/>
        <v>1</v>
      </c>
      <c r="W46" t="str">
        <f t="shared" si="20"/>
        <v>1</v>
      </c>
      <c r="X46" t="str">
        <f t="shared" si="20"/>
        <v>0</v>
      </c>
      <c r="Y46" t="str">
        <f t="shared" si="20"/>
        <v>1</v>
      </c>
      <c r="Z46" t="str">
        <f t="shared" si="20"/>
        <v>0</v>
      </c>
      <c r="AA46" t="str">
        <f t="shared" si="20"/>
        <v>0</v>
      </c>
      <c r="AB46" t="str">
        <f t="shared" si="20"/>
        <v>1</v>
      </c>
      <c r="AC46" t="str">
        <f t="shared" si="20"/>
        <v>1</v>
      </c>
      <c r="AD46" t="str">
        <f t="shared" si="20"/>
        <v>0</v>
      </c>
      <c r="AE46" t="str">
        <f t="shared" si="20"/>
        <v>1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R11</v>
      </c>
      <c r="B47">
        <f>IF(B44=B46,0,1)</f>
        <v>1</v>
      </c>
      <c r="C47">
        <f t="shared" ref="C47:AG47" si="21">IF(C44=C46,0,1)</f>
        <v>1</v>
      </c>
      <c r="D47">
        <f t="shared" si="21"/>
        <v>1</v>
      </c>
      <c r="E47">
        <f t="shared" si="21"/>
        <v>1</v>
      </c>
      <c r="F47">
        <f t="shared" si="21"/>
        <v>1</v>
      </c>
      <c r="G47">
        <f t="shared" si="21"/>
        <v>1</v>
      </c>
      <c r="H47">
        <f t="shared" si="21"/>
        <v>1</v>
      </c>
      <c r="I47">
        <f t="shared" si="21"/>
        <v>1</v>
      </c>
      <c r="J47">
        <f t="shared" si="21"/>
        <v>0</v>
      </c>
      <c r="K47">
        <f t="shared" si="21"/>
        <v>0</v>
      </c>
      <c r="L47">
        <f t="shared" si="21"/>
        <v>1</v>
      </c>
      <c r="M47">
        <f t="shared" si="21"/>
        <v>1</v>
      </c>
      <c r="N47">
        <f t="shared" si="21"/>
        <v>1</v>
      </c>
      <c r="O47">
        <f t="shared" si="21"/>
        <v>1</v>
      </c>
      <c r="P47">
        <f t="shared" si="21"/>
        <v>0</v>
      </c>
      <c r="Q47">
        <f t="shared" si="21"/>
        <v>0</v>
      </c>
      <c r="R47">
        <f t="shared" si="21"/>
        <v>0</v>
      </c>
      <c r="S47">
        <f t="shared" si="21"/>
        <v>1</v>
      </c>
      <c r="T47">
        <f t="shared" si="21"/>
        <v>0</v>
      </c>
      <c r="U47">
        <f t="shared" si="21"/>
        <v>0</v>
      </c>
      <c r="V47">
        <f t="shared" si="21"/>
        <v>1</v>
      </c>
      <c r="W47">
        <f t="shared" si="21"/>
        <v>0</v>
      </c>
      <c r="X47">
        <f t="shared" si="21"/>
        <v>0</v>
      </c>
      <c r="Y47">
        <f t="shared" si="21"/>
        <v>0</v>
      </c>
      <c r="Z47">
        <f t="shared" si="21"/>
        <v>0</v>
      </c>
      <c r="AA47">
        <f t="shared" si="21"/>
        <v>1</v>
      </c>
      <c r="AB47">
        <f t="shared" si="21"/>
        <v>0</v>
      </c>
      <c r="AC47">
        <f t="shared" si="21"/>
        <v>1</v>
      </c>
      <c r="AD47">
        <f t="shared" si="21"/>
        <v>1</v>
      </c>
      <c r="AE47">
        <f t="shared" si="21"/>
        <v>1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1111</v>
      </c>
      <c r="F48" t="str">
        <f>CONCATENATE(F47,G47,H47,I47)</f>
        <v>1111</v>
      </c>
      <c r="J48" t="str">
        <f>CONCATENATE(J47,K47,L47,M47)</f>
        <v>0011</v>
      </c>
      <c r="N48" t="str">
        <f>CONCATENATE(N47,O47,P47,Q47)</f>
        <v>1100</v>
      </c>
      <c r="R48" t="str">
        <f>CONCATENATE(R47,S47,T47,U47)</f>
        <v>0100</v>
      </c>
      <c r="V48" t="str">
        <f>CONCATENATE(V47,W47,X47,Y47)</f>
        <v>1000</v>
      </c>
      <c r="Z48" t="str">
        <f>CONCATENATE(Z47,AA47,AB47,AC47)</f>
        <v>0101</v>
      </c>
      <c r="AD48" t="str">
        <f>CONCATENATE(AD47,AE47,AF47,AG47)</f>
        <v>1111</v>
      </c>
    </row>
    <row r="49" spans="1:2">
      <c r="A49" t="str">
        <f>A47</f>
        <v>R11</v>
      </c>
      <c r="B49" t="str">
        <f>CONCATENATE(B48,F48,J48,N48,R48,V48,Z48,AD48)</f>
        <v>11111111001111000100100001011111</v>
      </c>
    </row>
    <row r="50" spans="1:2">
      <c r="A50" t="str">
        <f>CONCATENATE(A49," hex")</f>
        <v>R11 hex</v>
      </c>
      <c r="B50" t="str">
        <f>CONCATENATE(BIN2HEX(B48),BIN2HEX(F48),BIN2HEX(J48),BIN2HEX(N48),BIN2HEX(R48),BIN2HEX(V48),BIN2HEX(Z48),BIN2HEX(AD48))</f>
        <v>FF3C485F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50"/>
  <sheetViews>
    <sheetView topLeftCell="A31" workbookViewId="0">
      <selection activeCell="A31" sqref="A1:XFD1048576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12</v>
      </c>
    </row>
    <row r="5" spans="1:13">
      <c r="A5" t="str">
        <f>CONCATENATE("K",C4)</f>
        <v>K12</v>
      </c>
      <c r="C5" s="8" t="str">
        <f>Kn!O13</f>
        <v>110000101100000111101001011010100100101111110011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L12   =</v>
      </c>
      <c r="B6" t="str">
        <f>CONCATENATE("R",(C4-1))</f>
        <v>R11</v>
      </c>
      <c r="C6" s="8" t="str">
        <f>'R11'!B49</f>
        <v>11111111001111000100100001011111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E(R11)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1</v>
      </c>
      <c r="E8" s="1" t="str">
        <f t="shared" si="0"/>
        <v>1</v>
      </c>
      <c r="F8" s="1" t="str">
        <f t="shared" si="0"/>
        <v>1</v>
      </c>
      <c r="G8" s="1" t="str">
        <f t="shared" si="0"/>
        <v>1</v>
      </c>
      <c r="H8" s="1" t="str">
        <f t="shared" si="0"/>
        <v>1</v>
      </c>
      <c r="I8" s="6" t="str">
        <f>CONCATENATE(C8,D8,E8,F8,G8,H8)</f>
        <v>111111</v>
      </c>
    </row>
    <row r="9" spans="1:13">
      <c r="B9">
        <v>2</v>
      </c>
      <c r="C9" s="1" t="str">
        <f t="shared" si="0"/>
        <v>1</v>
      </c>
      <c r="D9" s="1" t="str">
        <f t="shared" si="0"/>
        <v>1</v>
      </c>
      <c r="E9" s="1" t="str">
        <f t="shared" si="0"/>
        <v>1</v>
      </c>
      <c r="F9" s="1" t="str">
        <f t="shared" si="0"/>
        <v>1</v>
      </c>
      <c r="G9" s="1" t="str">
        <f t="shared" si="0"/>
        <v>1</v>
      </c>
      <c r="H9" s="1" t="str">
        <f t="shared" si="0"/>
        <v>0</v>
      </c>
      <c r="I9" s="6" t="str">
        <f t="shared" ref="I9:I15" si="1">CONCATENATE(C9,D9,E9,F9,G9,H9)</f>
        <v>111110</v>
      </c>
    </row>
    <row r="10" spans="1:13">
      <c r="B10">
        <v>3</v>
      </c>
      <c r="C10" s="1" t="str">
        <f t="shared" si="0"/>
        <v>1</v>
      </c>
      <c r="D10" s="1" t="str">
        <f t="shared" si="0"/>
        <v>0</v>
      </c>
      <c r="E10" s="1" t="str">
        <f t="shared" si="0"/>
        <v>0</v>
      </c>
      <c r="F10" s="1" t="str">
        <f t="shared" si="0"/>
        <v>1</v>
      </c>
      <c r="G10" s="1" t="str">
        <f t="shared" si="0"/>
        <v>1</v>
      </c>
      <c r="H10" s="1" t="str">
        <f t="shared" si="0"/>
        <v>1</v>
      </c>
      <c r="I10" s="6" t="str">
        <f t="shared" si="1"/>
        <v>100111</v>
      </c>
    </row>
    <row r="11" spans="1:13">
      <c r="B11">
        <v>4</v>
      </c>
      <c r="C11" s="1" t="str">
        <f t="shared" si="0"/>
        <v>1</v>
      </c>
      <c r="D11" s="1" t="str">
        <f t="shared" si="0"/>
        <v>1</v>
      </c>
      <c r="E11" s="1" t="str">
        <f t="shared" si="0"/>
        <v>1</v>
      </c>
      <c r="F11" s="1" t="str">
        <f t="shared" si="0"/>
        <v>0</v>
      </c>
      <c r="G11" s="1" t="str">
        <f t="shared" si="0"/>
        <v>0</v>
      </c>
      <c r="H11" s="1" t="str">
        <f t="shared" si="0"/>
        <v>0</v>
      </c>
      <c r="I11" s="6" t="str">
        <f t="shared" si="1"/>
        <v>111000</v>
      </c>
    </row>
    <row r="12" spans="1:13">
      <c r="B12">
        <v>5</v>
      </c>
      <c r="C12" s="1" t="str">
        <f t="shared" si="0"/>
        <v>0</v>
      </c>
      <c r="D12" s="1" t="str">
        <f t="shared" si="0"/>
        <v>0</v>
      </c>
      <c r="E12" s="1" t="str">
        <f t="shared" si="0"/>
        <v>1</v>
      </c>
      <c r="F12" s="1" t="str">
        <f t="shared" si="0"/>
        <v>0</v>
      </c>
      <c r="G12" s="1" t="str">
        <f t="shared" si="0"/>
        <v>0</v>
      </c>
      <c r="H12" s="1" t="str">
        <f t="shared" si="0"/>
        <v>1</v>
      </c>
      <c r="I12" s="6" t="str">
        <f t="shared" si="1"/>
        <v>001001</v>
      </c>
    </row>
    <row r="13" spans="1:13">
      <c r="B13">
        <v>6</v>
      </c>
      <c r="C13" s="1" t="str">
        <f t="shared" si="0"/>
        <v>0</v>
      </c>
      <c r="D13" s="1" t="str">
        <f t="shared" si="0"/>
        <v>1</v>
      </c>
      <c r="E13" s="1" t="str">
        <f t="shared" si="0"/>
        <v>0</v>
      </c>
      <c r="F13" s="1" t="str">
        <f t="shared" si="0"/>
        <v>0</v>
      </c>
      <c r="G13" s="1" t="str">
        <f t="shared" si="0"/>
        <v>0</v>
      </c>
      <c r="H13" s="1" t="str">
        <f t="shared" si="0"/>
        <v>0</v>
      </c>
      <c r="I13" s="6" t="str">
        <f t="shared" si="1"/>
        <v>010000</v>
      </c>
    </row>
    <row r="14" spans="1:13">
      <c r="B14">
        <v>7</v>
      </c>
      <c r="C14" s="1" t="str">
        <f t="shared" si="0"/>
        <v>0</v>
      </c>
      <c r="D14" s="1" t="str">
        <f t="shared" si="0"/>
        <v>0</v>
      </c>
      <c r="E14" s="1" t="str">
        <f t="shared" si="0"/>
        <v>1</v>
      </c>
      <c r="F14" s="1" t="str">
        <f t="shared" si="0"/>
        <v>0</v>
      </c>
      <c r="G14" s="1" t="str">
        <f t="shared" si="0"/>
        <v>1</v>
      </c>
      <c r="H14" s="1" t="str">
        <f t="shared" si="0"/>
        <v>1</v>
      </c>
      <c r="I14" s="6" t="str">
        <f t="shared" si="1"/>
        <v>001011</v>
      </c>
    </row>
    <row r="15" spans="1:13">
      <c r="B15">
        <v>8</v>
      </c>
      <c r="C15" s="1" t="str">
        <f t="shared" si="0"/>
        <v>1</v>
      </c>
      <c r="D15" s="1" t="str">
        <f t="shared" si="0"/>
        <v>1</v>
      </c>
      <c r="E15" s="1" t="str">
        <f t="shared" si="0"/>
        <v>1</v>
      </c>
      <c r="F15" s="1" t="str">
        <f t="shared" si="0"/>
        <v>1</v>
      </c>
      <c r="G15" s="1" t="str">
        <f t="shared" si="0"/>
        <v>1</v>
      </c>
      <c r="H15" s="1" t="str">
        <f t="shared" si="0"/>
        <v>1</v>
      </c>
      <c r="I15" s="6" t="str">
        <f t="shared" si="1"/>
        <v>111111</v>
      </c>
    </row>
    <row r="16" spans="1:13">
      <c r="A16" t="str">
        <f>A8</f>
        <v>E(R11)</v>
      </c>
      <c r="B16" t="str">
        <f>CONCATENATE(I8,I9,I10,I11,I12,I13,I14,I15)</f>
        <v>111111111110100111111000001001010000001011111111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K12</v>
      </c>
      <c r="B19" t="str">
        <f>MID($C$5,B18,1)</f>
        <v>1</v>
      </c>
      <c r="C19" t="str">
        <f t="shared" ref="C19:AW19" si="2">MID($C$5,C18,1)</f>
        <v>1</v>
      </c>
      <c r="D19" t="str">
        <f t="shared" si="2"/>
        <v>0</v>
      </c>
      <c r="E19" t="str">
        <f t="shared" si="2"/>
        <v>0</v>
      </c>
      <c r="F19" t="str">
        <f t="shared" si="2"/>
        <v>0</v>
      </c>
      <c r="G19" t="str">
        <f t="shared" si="2"/>
        <v>0</v>
      </c>
      <c r="H19" t="str">
        <f t="shared" si="2"/>
        <v>1</v>
      </c>
      <c r="I19" t="str">
        <f t="shared" si="2"/>
        <v>0</v>
      </c>
      <c r="J19" t="str">
        <f t="shared" si="2"/>
        <v>1</v>
      </c>
      <c r="K19" t="str">
        <f t="shared" si="2"/>
        <v>1</v>
      </c>
      <c r="L19" t="str">
        <f t="shared" si="2"/>
        <v>0</v>
      </c>
      <c r="M19" t="str">
        <f t="shared" si="2"/>
        <v>0</v>
      </c>
      <c r="N19" t="str">
        <f t="shared" si="2"/>
        <v>0</v>
      </c>
      <c r="O19" t="str">
        <f t="shared" si="2"/>
        <v>0</v>
      </c>
      <c r="P19" t="str">
        <f t="shared" si="2"/>
        <v>0</v>
      </c>
      <c r="Q19" t="str">
        <f t="shared" si="2"/>
        <v>1</v>
      </c>
      <c r="R19" t="str">
        <f t="shared" si="2"/>
        <v>1</v>
      </c>
      <c r="S19" t="str">
        <f t="shared" si="2"/>
        <v>1</v>
      </c>
      <c r="T19" t="str">
        <f t="shared" si="2"/>
        <v>1</v>
      </c>
      <c r="U19" t="str">
        <f t="shared" si="2"/>
        <v>0</v>
      </c>
      <c r="V19" t="str">
        <f t="shared" si="2"/>
        <v>1</v>
      </c>
      <c r="W19" t="str">
        <f t="shared" si="2"/>
        <v>0</v>
      </c>
      <c r="X19" t="str">
        <f t="shared" si="2"/>
        <v>0</v>
      </c>
      <c r="Y19" t="str">
        <f t="shared" si="2"/>
        <v>1</v>
      </c>
      <c r="Z19" t="str">
        <f t="shared" si="2"/>
        <v>0</v>
      </c>
      <c r="AA19" t="str">
        <f t="shared" si="2"/>
        <v>1</v>
      </c>
      <c r="AB19" t="str">
        <f t="shared" si="2"/>
        <v>1</v>
      </c>
      <c r="AC19" t="str">
        <f t="shared" si="2"/>
        <v>0</v>
      </c>
      <c r="AD19" t="str">
        <f t="shared" si="2"/>
        <v>1</v>
      </c>
      <c r="AE19" t="str">
        <f t="shared" si="2"/>
        <v>0</v>
      </c>
      <c r="AF19" t="str">
        <f t="shared" si="2"/>
        <v>1</v>
      </c>
      <c r="AG19" t="str">
        <f t="shared" si="2"/>
        <v>0</v>
      </c>
      <c r="AH19" t="str">
        <f t="shared" si="2"/>
        <v>0</v>
      </c>
      <c r="AI19" t="str">
        <f t="shared" si="2"/>
        <v>1</v>
      </c>
      <c r="AJ19" t="str">
        <f t="shared" si="2"/>
        <v>0</v>
      </c>
      <c r="AK19" t="str">
        <f t="shared" si="2"/>
        <v>0</v>
      </c>
      <c r="AL19" t="str">
        <f t="shared" si="2"/>
        <v>1</v>
      </c>
      <c r="AM19" t="str">
        <f t="shared" si="2"/>
        <v>0</v>
      </c>
      <c r="AN19" t="str">
        <f t="shared" si="2"/>
        <v>1</v>
      </c>
      <c r="AO19" t="str">
        <f t="shared" si="2"/>
        <v>1</v>
      </c>
      <c r="AP19" t="str">
        <f t="shared" si="2"/>
        <v>1</v>
      </c>
      <c r="AQ19" t="str">
        <f t="shared" si="2"/>
        <v>1</v>
      </c>
      <c r="AR19" t="str">
        <f t="shared" si="2"/>
        <v>1</v>
      </c>
      <c r="AS19" t="str">
        <f t="shared" si="2"/>
        <v>1</v>
      </c>
      <c r="AT19" t="str">
        <f t="shared" si="2"/>
        <v>0</v>
      </c>
      <c r="AU19" t="str">
        <f t="shared" si="2"/>
        <v>0</v>
      </c>
      <c r="AV19" t="str">
        <f t="shared" si="2"/>
        <v>1</v>
      </c>
      <c r="AW19" t="str">
        <f t="shared" si="2"/>
        <v>1</v>
      </c>
    </row>
    <row r="20" spans="1:49">
      <c r="A20" t="str">
        <f>A16</f>
        <v>E(R11)</v>
      </c>
      <c r="B20" t="str">
        <f>MID($B$16,B18,1)</f>
        <v>1</v>
      </c>
      <c r="C20" t="str">
        <f t="shared" ref="C20:AW20" si="3">MID($B$16,C18,1)</f>
        <v>1</v>
      </c>
      <c r="D20" t="str">
        <f t="shared" si="3"/>
        <v>1</v>
      </c>
      <c r="E20" t="str">
        <f t="shared" si="3"/>
        <v>1</v>
      </c>
      <c r="F20" t="str">
        <f t="shared" si="3"/>
        <v>1</v>
      </c>
      <c r="G20" t="str">
        <f t="shared" si="3"/>
        <v>1</v>
      </c>
      <c r="H20" t="str">
        <f t="shared" si="3"/>
        <v>1</v>
      </c>
      <c r="I20" t="str">
        <f t="shared" si="3"/>
        <v>1</v>
      </c>
      <c r="J20" t="str">
        <f t="shared" si="3"/>
        <v>1</v>
      </c>
      <c r="K20" t="str">
        <f t="shared" si="3"/>
        <v>1</v>
      </c>
      <c r="L20" t="str">
        <f t="shared" si="3"/>
        <v>1</v>
      </c>
      <c r="M20" t="str">
        <f t="shared" si="3"/>
        <v>0</v>
      </c>
      <c r="N20" t="str">
        <f t="shared" si="3"/>
        <v>1</v>
      </c>
      <c r="O20" t="str">
        <f t="shared" si="3"/>
        <v>0</v>
      </c>
      <c r="P20" t="str">
        <f t="shared" si="3"/>
        <v>0</v>
      </c>
      <c r="Q20" t="str">
        <f t="shared" si="3"/>
        <v>1</v>
      </c>
      <c r="R20" t="str">
        <f t="shared" si="3"/>
        <v>1</v>
      </c>
      <c r="S20" t="str">
        <f t="shared" si="3"/>
        <v>1</v>
      </c>
      <c r="T20" t="str">
        <f t="shared" si="3"/>
        <v>1</v>
      </c>
      <c r="U20" t="str">
        <f t="shared" si="3"/>
        <v>1</v>
      </c>
      <c r="V20" t="str">
        <f t="shared" si="3"/>
        <v>1</v>
      </c>
      <c r="W20" t="str">
        <f t="shared" si="3"/>
        <v>0</v>
      </c>
      <c r="X20" t="str">
        <f t="shared" si="3"/>
        <v>0</v>
      </c>
      <c r="Y20" t="str">
        <f t="shared" si="3"/>
        <v>0</v>
      </c>
      <c r="Z20" t="str">
        <f t="shared" si="3"/>
        <v>0</v>
      </c>
      <c r="AA20" t="str">
        <f t="shared" si="3"/>
        <v>0</v>
      </c>
      <c r="AB20" t="str">
        <f t="shared" si="3"/>
        <v>1</v>
      </c>
      <c r="AC20" t="str">
        <f t="shared" si="3"/>
        <v>0</v>
      </c>
      <c r="AD20" t="str">
        <f t="shared" si="3"/>
        <v>0</v>
      </c>
      <c r="AE20" t="str">
        <f t="shared" si="3"/>
        <v>1</v>
      </c>
      <c r="AF20" t="str">
        <f t="shared" si="3"/>
        <v>0</v>
      </c>
      <c r="AG20" t="str">
        <f t="shared" si="3"/>
        <v>1</v>
      </c>
      <c r="AH20" t="str">
        <f t="shared" si="3"/>
        <v>0</v>
      </c>
      <c r="AI20" t="str">
        <f t="shared" si="3"/>
        <v>0</v>
      </c>
      <c r="AJ20" t="str">
        <f t="shared" si="3"/>
        <v>0</v>
      </c>
      <c r="AK20" t="str">
        <f t="shared" si="3"/>
        <v>0</v>
      </c>
      <c r="AL20" t="str">
        <f t="shared" si="3"/>
        <v>0</v>
      </c>
      <c r="AM20" t="str">
        <f t="shared" si="3"/>
        <v>0</v>
      </c>
      <c r="AN20" t="str">
        <f t="shared" si="3"/>
        <v>1</v>
      </c>
      <c r="AO20" t="str">
        <f t="shared" si="3"/>
        <v>0</v>
      </c>
      <c r="AP20" t="str">
        <f t="shared" si="3"/>
        <v>1</v>
      </c>
      <c r="AQ20" t="str">
        <f t="shared" si="3"/>
        <v>1</v>
      </c>
      <c r="AR20" t="str">
        <f t="shared" si="3"/>
        <v>1</v>
      </c>
      <c r="AS20" t="str">
        <f t="shared" si="3"/>
        <v>1</v>
      </c>
      <c r="AT20" t="str">
        <f t="shared" si="3"/>
        <v>1</v>
      </c>
      <c r="AU20" t="str">
        <f t="shared" si="3"/>
        <v>1</v>
      </c>
      <c r="AV20" t="str">
        <f t="shared" si="3"/>
        <v>1</v>
      </c>
      <c r="AW20" t="str">
        <f t="shared" si="3"/>
        <v>1</v>
      </c>
    </row>
    <row r="21" spans="1:49">
      <c r="A21" s="6" t="str">
        <f>CONCATENATE(A19," + ",A20)</f>
        <v>K12 + E(R11)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1</v>
      </c>
      <c r="E21" s="1">
        <f t="shared" si="4"/>
        <v>1</v>
      </c>
      <c r="F21" s="1">
        <f t="shared" si="4"/>
        <v>1</v>
      </c>
      <c r="G21" s="1">
        <f t="shared" si="4"/>
        <v>1</v>
      </c>
      <c r="H21" s="1">
        <f t="shared" si="4"/>
        <v>0</v>
      </c>
      <c r="I21" s="1">
        <f t="shared" si="4"/>
        <v>1</v>
      </c>
      <c r="J21" s="1">
        <f t="shared" si="4"/>
        <v>0</v>
      </c>
      <c r="K21" s="1">
        <f t="shared" si="4"/>
        <v>0</v>
      </c>
      <c r="L21" s="1">
        <f t="shared" si="4"/>
        <v>1</v>
      </c>
      <c r="M21" s="1">
        <f t="shared" si="4"/>
        <v>0</v>
      </c>
      <c r="N21" s="1">
        <f t="shared" si="4"/>
        <v>1</v>
      </c>
      <c r="O21" s="1">
        <f t="shared" si="4"/>
        <v>0</v>
      </c>
      <c r="P21" s="1">
        <f t="shared" si="4"/>
        <v>0</v>
      </c>
      <c r="Q21" s="1">
        <f t="shared" si="4"/>
        <v>0</v>
      </c>
      <c r="R21" s="1">
        <f t="shared" si="4"/>
        <v>0</v>
      </c>
      <c r="S21" s="1">
        <f t="shared" si="4"/>
        <v>0</v>
      </c>
      <c r="T21" s="1">
        <f t="shared" si="4"/>
        <v>0</v>
      </c>
      <c r="U21" s="1">
        <f t="shared" si="4"/>
        <v>1</v>
      </c>
      <c r="V21" s="1">
        <f t="shared" si="4"/>
        <v>0</v>
      </c>
      <c r="W21" s="1">
        <f t="shared" si="4"/>
        <v>0</v>
      </c>
      <c r="X21" s="1">
        <f t="shared" si="4"/>
        <v>0</v>
      </c>
      <c r="Y21" s="1">
        <f t="shared" si="4"/>
        <v>1</v>
      </c>
      <c r="Z21" s="1">
        <f t="shared" si="4"/>
        <v>0</v>
      </c>
      <c r="AA21" s="1">
        <f t="shared" si="4"/>
        <v>1</v>
      </c>
      <c r="AB21" s="1">
        <f t="shared" si="4"/>
        <v>0</v>
      </c>
      <c r="AC21" s="1">
        <f t="shared" si="4"/>
        <v>0</v>
      </c>
      <c r="AD21" s="1">
        <f t="shared" si="4"/>
        <v>1</v>
      </c>
      <c r="AE21" s="1">
        <f t="shared" si="4"/>
        <v>1</v>
      </c>
      <c r="AF21" s="1">
        <f t="shared" si="4"/>
        <v>1</v>
      </c>
      <c r="AG21" s="1">
        <f t="shared" si="4"/>
        <v>1</v>
      </c>
      <c r="AH21" s="1">
        <f t="shared" si="4"/>
        <v>0</v>
      </c>
      <c r="AI21" s="1">
        <f t="shared" si="4"/>
        <v>1</v>
      </c>
      <c r="AJ21" s="1">
        <f t="shared" si="4"/>
        <v>0</v>
      </c>
      <c r="AK21" s="1">
        <f t="shared" si="4"/>
        <v>0</v>
      </c>
      <c r="AL21" s="1">
        <f t="shared" si="4"/>
        <v>1</v>
      </c>
      <c r="AM21" s="1">
        <f t="shared" si="4"/>
        <v>0</v>
      </c>
      <c r="AN21" s="1">
        <f t="shared" si="4"/>
        <v>0</v>
      </c>
      <c r="AO21" s="1">
        <f t="shared" si="4"/>
        <v>1</v>
      </c>
      <c r="AP21" s="1">
        <f t="shared" si="4"/>
        <v>0</v>
      </c>
      <c r="AQ21" s="1">
        <f t="shared" si="4"/>
        <v>0</v>
      </c>
      <c r="AR21" s="1">
        <f t="shared" si="4"/>
        <v>0</v>
      </c>
      <c r="AS21" s="1">
        <f t="shared" si="4"/>
        <v>0</v>
      </c>
      <c r="AT21" s="1">
        <f t="shared" si="4"/>
        <v>1</v>
      </c>
      <c r="AU21" s="1">
        <f t="shared" si="4"/>
        <v>1</v>
      </c>
      <c r="AV21" s="1">
        <f t="shared" si="4"/>
        <v>0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1</v>
      </c>
      <c r="E23">
        <f t="shared" si="5"/>
        <v>1</v>
      </c>
      <c r="F23">
        <f t="shared" si="5"/>
        <v>1</v>
      </c>
      <c r="G23">
        <f t="shared" si="5"/>
        <v>1</v>
      </c>
      <c r="H23" t="str">
        <f>CONCATENATE(B23,G23)</f>
        <v>01</v>
      </c>
      <c r="I23" t="str">
        <f>CONCATENATE(C23,D23,E23,F23)</f>
        <v>0111</v>
      </c>
      <c r="J23">
        <f>BIN2DEC(H23)</f>
        <v>1</v>
      </c>
      <c r="K23">
        <f>BIN2DEC(I23)</f>
        <v>7</v>
      </c>
      <c r="L23">
        <f>VLOOKUP(J23,S1_BOX,K23+2,FALSE)</f>
        <v>1</v>
      </c>
      <c r="M23" t="str">
        <f>DEC2BIN(L23,4)</f>
        <v>0001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0</v>
      </c>
      <c r="E24">
        <f t="shared" si="6"/>
        <v>0</v>
      </c>
      <c r="F24">
        <f t="shared" si="6"/>
        <v>1</v>
      </c>
      <c r="G24">
        <f t="shared" si="6"/>
        <v>0</v>
      </c>
      <c r="H24" t="str">
        <f t="shared" ref="H24:H30" si="7">CONCATENATE(B24,G24)</f>
        <v>00</v>
      </c>
      <c r="I24" t="str">
        <f t="shared" ref="I24:I30" si="8">CONCATENATE(C24,D24,E24,F24)</f>
        <v>1001</v>
      </c>
      <c r="J24">
        <f t="shared" ref="J24:K30" si="9">BIN2DEC(H24)</f>
        <v>0</v>
      </c>
      <c r="K24">
        <f t="shared" si="9"/>
        <v>9</v>
      </c>
      <c r="L24">
        <f>VLOOKUP(J24,S2_BOX,K24+2,FALSE)</f>
        <v>7</v>
      </c>
      <c r="M24" t="str">
        <f t="shared" ref="M24:M30" si="10">DEC2BIN(L24,4)</f>
        <v>0111</v>
      </c>
    </row>
    <row r="25" spans="1:49">
      <c r="A25" t="s">
        <v>156</v>
      </c>
      <c r="B25">
        <f>N21</f>
        <v>1</v>
      </c>
      <c r="C25">
        <f t="shared" ref="C25:G25" si="11">O21</f>
        <v>0</v>
      </c>
      <c r="D25">
        <f t="shared" si="11"/>
        <v>0</v>
      </c>
      <c r="E25">
        <f t="shared" si="11"/>
        <v>0</v>
      </c>
      <c r="F25">
        <f t="shared" si="11"/>
        <v>0</v>
      </c>
      <c r="G25">
        <f t="shared" si="11"/>
        <v>0</v>
      </c>
      <c r="H25" t="str">
        <f t="shared" si="7"/>
        <v>10</v>
      </c>
      <c r="I25" t="str">
        <f t="shared" si="8"/>
        <v>0000</v>
      </c>
      <c r="J25">
        <f t="shared" si="9"/>
        <v>2</v>
      </c>
      <c r="K25">
        <f t="shared" si="9"/>
        <v>0</v>
      </c>
      <c r="L25">
        <f>VLOOKUP(J25,S3_BOX,K25+2,FALSE)</f>
        <v>13</v>
      </c>
      <c r="M25" t="str">
        <f t="shared" si="10"/>
        <v>1101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0</v>
      </c>
      <c r="E26">
        <f t="shared" si="12"/>
        <v>0</v>
      </c>
      <c r="F26">
        <f t="shared" si="12"/>
        <v>0</v>
      </c>
      <c r="G26">
        <f t="shared" si="12"/>
        <v>1</v>
      </c>
      <c r="H26" t="str">
        <f t="shared" si="7"/>
        <v>01</v>
      </c>
      <c r="I26" t="str">
        <f t="shared" si="8"/>
        <v>1000</v>
      </c>
      <c r="J26">
        <f t="shared" si="9"/>
        <v>1</v>
      </c>
      <c r="K26">
        <f t="shared" si="9"/>
        <v>8</v>
      </c>
      <c r="L26">
        <f>VLOOKUP(J26,S4_BOX,K26+2,FALSE)</f>
        <v>4</v>
      </c>
      <c r="M26" t="str">
        <f t="shared" si="10"/>
        <v>0100</v>
      </c>
    </row>
    <row r="27" spans="1:49">
      <c r="A27" t="s">
        <v>158</v>
      </c>
      <c r="B27">
        <f>Z21</f>
        <v>0</v>
      </c>
      <c r="C27">
        <f t="shared" ref="C27:G27" si="13">AA21</f>
        <v>1</v>
      </c>
      <c r="D27">
        <f t="shared" si="13"/>
        <v>0</v>
      </c>
      <c r="E27">
        <f t="shared" si="13"/>
        <v>0</v>
      </c>
      <c r="F27">
        <f t="shared" si="13"/>
        <v>1</v>
      </c>
      <c r="G27">
        <f t="shared" si="13"/>
        <v>1</v>
      </c>
      <c r="H27" t="str">
        <f t="shared" si="7"/>
        <v>01</v>
      </c>
      <c r="I27" t="str">
        <f t="shared" si="8"/>
        <v>1001</v>
      </c>
      <c r="J27">
        <f t="shared" si="9"/>
        <v>1</v>
      </c>
      <c r="K27">
        <f t="shared" si="9"/>
        <v>9</v>
      </c>
      <c r="L27">
        <f>VLOOKUP(J27,S5_BOX,K27+2,FALSE)</f>
        <v>0</v>
      </c>
      <c r="M27" t="str">
        <f t="shared" si="10"/>
        <v>0000</v>
      </c>
    </row>
    <row r="28" spans="1:49">
      <c r="A28" t="s">
        <v>159</v>
      </c>
      <c r="B28">
        <f>AF21</f>
        <v>1</v>
      </c>
      <c r="C28">
        <f t="shared" ref="C28:G28" si="14">AG21</f>
        <v>1</v>
      </c>
      <c r="D28">
        <f t="shared" si="14"/>
        <v>0</v>
      </c>
      <c r="E28">
        <f t="shared" si="14"/>
        <v>1</v>
      </c>
      <c r="F28">
        <f t="shared" si="14"/>
        <v>0</v>
      </c>
      <c r="G28">
        <f t="shared" si="14"/>
        <v>0</v>
      </c>
      <c r="H28" t="str">
        <f t="shared" si="7"/>
        <v>10</v>
      </c>
      <c r="I28" t="str">
        <f t="shared" si="8"/>
        <v>1010</v>
      </c>
      <c r="J28">
        <f t="shared" si="9"/>
        <v>2</v>
      </c>
      <c r="K28">
        <f t="shared" si="9"/>
        <v>10</v>
      </c>
      <c r="L28">
        <f>VLOOKUP(J28,S6_BOX,K28+2,FALSE)</f>
        <v>4</v>
      </c>
      <c r="M28" t="str">
        <f t="shared" si="10"/>
        <v>0100</v>
      </c>
    </row>
    <row r="29" spans="1:49">
      <c r="A29" t="s">
        <v>160</v>
      </c>
      <c r="B29">
        <f>AL21</f>
        <v>1</v>
      </c>
      <c r="C29">
        <f t="shared" ref="C29:G29" si="15">AM21</f>
        <v>0</v>
      </c>
      <c r="D29">
        <f t="shared" si="15"/>
        <v>0</v>
      </c>
      <c r="E29">
        <f t="shared" si="15"/>
        <v>1</v>
      </c>
      <c r="F29">
        <f t="shared" si="15"/>
        <v>0</v>
      </c>
      <c r="G29">
        <f t="shared" si="15"/>
        <v>0</v>
      </c>
      <c r="H29" t="str">
        <f t="shared" si="7"/>
        <v>10</v>
      </c>
      <c r="I29" t="str">
        <f t="shared" si="8"/>
        <v>0010</v>
      </c>
      <c r="J29">
        <f t="shared" si="9"/>
        <v>2</v>
      </c>
      <c r="K29">
        <f t="shared" si="9"/>
        <v>2</v>
      </c>
      <c r="L29">
        <f>VLOOKUP(J29,S7_BOX,K29+2,FALSE)</f>
        <v>11</v>
      </c>
      <c r="M29" t="str">
        <f t="shared" si="10"/>
        <v>1011</v>
      </c>
    </row>
    <row r="30" spans="1:49">
      <c r="A30" t="s">
        <v>161</v>
      </c>
      <c r="B30">
        <f>AR21</f>
        <v>0</v>
      </c>
      <c r="C30">
        <f t="shared" ref="C30:G30" si="16">AS21</f>
        <v>0</v>
      </c>
      <c r="D30">
        <f t="shared" si="16"/>
        <v>1</v>
      </c>
      <c r="E30">
        <f t="shared" si="16"/>
        <v>1</v>
      </c>
      <c r="F30">
        <f t="shared" si="16"/>
        <v>0</v>
      </c>
      <c r="G30">
        <f t="shared" si="16"/>
        <v>0</v>
      </c>
      <c r="H30" t="str">
        <f t="shared" si="7"/>
        <v>00</v>
      </c>
      <c r="I30" t="str">
        <f t="shared" si="8"/>
        <v>0110</v>
      </c>
      <c r="J30">
        <f t="shared" si="9"/>
        <v>0</v>
      </c>
      <c r="K30">
        <f t="shared" si="9"/>
        <v>6</v>
      </c>
      <c r="L30">
        <f>VLOOKUP(J30,S8_BOX,K30+2,FALSE)</f>
        <v>11</v>
      </c>
      <c r="M30" t="str">
        <f t="shared" si="10"/>
        <v>1011</v>
      </c>
    </row>
    <row r="31" spans="1:49">
      <c r="A31" t="s">
        <v>162</v>
      </c>
      <c r="B31" t="str">
        <f>CONCATENATE(M23,M24,M25,M26,M27,M28,M29,M30)</f>
        <v>00010111110101000000010010111011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0</v>
      </c>
      <c r="D34" t="str">
        <f t="shared" si="17"/>
        <v>1</v>
      </c>
      <c r="E34" t="str">
        <f t="shared" si="17"/>
        <v>0</v>
      </c>
      <c r="F34" t="str">
        <f t="shared" si="17"/>
        <v>0</v>
      </c>
      <c r="G34" t="str">
        <f>CONCATENATE(C34,D34,E34,F34)</f>
        <v>0100</v>
      </c>
    </row>
    <row r="35" spans="1:33">
      <c r="B35">
        <v>2</v>
      </c>
      <c r="C35" t="str">
        <f t="shared" si="17"/>
        <v>1</v>
      </c>
      <c r="D35" t="str">
        <f t="shared" si="17"/>
        <v>1</v>
      </c>
      <c r="E35" t="str">
        <f t="shared" si="17"/>
        <v>1</v>
      </c>
      <c r="F35" t="str">
        <f t="shared" si="17"/>
        <v>0</v>
      </c>
      <c r="G35" t="str">
        <f t="shared" ref="G35:G41" si="18">CONCATENATE(C35,D35,E35,F35)</f>
        <v>1110</v>
      </c>
    </row>
    <row r="36" spans="1:33">
      <c r="B36">
        <v>3</v>
      </c>
      <c r="C36" t="str">
        <f t="shared" si="17"/>
        <v>0</v>
      </c>
      <c r="D36" t="str">
        <f t="shared" si="17"/>
        <v>0</v>
      </c>
      <c r="E36" t="str">
        <f t="shared" si="17"/>
        <v>0</v>
      </c>
      <c r="F36" t="str">
        <f t="shared" si="17"/>
        <v>0</v>
      </c>
      <c r="G36" t="str">
        <f t="shared" si="18"/>
        <v>0000</v>
      </c>
    </row>
    <row r="37" spans="1:33">
      <c r="B37">
        <v>4</v>
      </c>
      <c r="C37" t="str">
        <f t="shared" si="17"/>
        <v>0</v>
      </c>
      <c r="D37" t="str">
        <f t="shared" si="17"/>
        <v>0</v>
      </c>
      <c r="E37" t="str">
        <f t="shared" si="17"/>
        <v>1</v>
      </c>
      <c r="F37" t="str">
        <f t="shared" si="17"/>
        <v>1</v>
      </c>
      <c r="G37" t="str">
        <f t="shared" si="18"/>
        <v>0011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0</v>
      </c>
      <c r="F38" t="str">
        <f t="shared" si="17"/>
        <v>1</v>
      </c>
      <c r="G38" t="str">
        <f t="shared" si="18"/>
        <v>0101</v>
      </c>
    </row>
    <row r="39" spans="1:33">
      <c r="B39">
        <v>6</v>
      </c>
      <c r="C39" t="str">
        <f t="shared" si="17"/>
        <v>1</v>
      </c>
      <c r="D39" t="str">
        <f t="shared" si="17"/>
        <v>1</v>
      </c>
      <c r="E39" t="str">
        <f t="shared" si="17"/>
        <v>0</v>
      </c>
      <c r="F39" t="str">
        <f t="shared" si="17"/>
        <v>1</v>
      </c>
      <c r="G39" t="str">
        <f t="shared" si="18"/>
        <v>1101</v>
      </c>
    </row>
    <row r="40" spans="1:33">
      <c r="B40">
        <v>7</v>
      </c>
      <c r="C40" t="str">
        <f t="shared" si="17"/>
        <v>0</v>
      </c>
      <c r="D40" t="str">
        <f t="shared" si="17"/>
        <v>0</v>
      </c>
      <c r="E40" t="str">
        <f t="shared" si="17"/>
        <v>0</v>
      </c>
      <c r="F40" t="str">
        <f t="shared" si="17"/>
        <v>1</v>
      </c>
      <c r="G40" t="str">
        <f t="shared" si="18"/>
        <v>0001</v>
      </c>
    </row>
    <row r="41" spans="1:33">
      <c r="B41">
        <v>8</v>
      </c>
      <c r="C41" t="str">
        <f t="shared" si="17"/>
        <v>1</v>
      </c>
      <c r="D41" t="str">
        <f t="shared" si="17"/>
        <v>0</v>
      </c>
      <c r="E41" t="str">
        <f t="shared" si="17"/>
        <v>1</v>
      </c>
      <c r="F41" t="str">
        <f t="shared" si="17"/>
        <v>1</v>
      </c>
      <c r="G41" t="str">
        <f t="shared" si="18"/>
        <v>1011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01001110000000110101110100011011</v>
      </c>
    </row>
    <row r="44" spans="1:33">
      <c r="B44" t="str">
        <f>MID($B$43,B42,1)</f>
        <v>0</v>
      </c>
      <c r="C44" t="str">
        <f t="shared" ref="C44:AG44" si="19">MID($B$43,C42,1)</f>
        <v>1</v>
      </c>
      <c r="D44" t="str">
        <f t="shared" si="19"/>
        <v>0</v>
      </c>
      <c r="E44" t="str">
        <f t="shared" si="19"/>
        <v>0</v>
      </c>
      <c r="F44" t="str">
        <f t="shared" si="19"/>
        <v>1</v>
      </c>
      <c r="G44" t="str">
        <f t="shared" si="19"/>
        <v>1</v>
      </c>
      <c r="H44" t="str">
        <f t="shared" si="19"/>
        <v>1</v>
      </c>
      <c r="I44" t="str">
        <f t="shared" si="19"/>
        <v>0</v>
      </c>
      <c r="J44" t="str">
        <f t="shared" si="19"/>
        <v>0</v>
      </c>
      <c r="K44" t="str">
        <f t="shared" si="19"/>
        <v>0</v>
      </c>
      <c r="L44" t="str">
        <f t="shared" si="19"/>
        <v>0</v>
      </c>
      <c r="M44" t="str">
        <f t="shared" si="19"/>
        <v>0</v>
      </c>
      <c r="N44" t="str">
        <f t="shared" si="19"/>
        <v>0</v>
      </c>
      <c r="O44" t="str">
        <f t="shared" si="19"/>
        <v>0</v>
      </c>
      <c r="P44" t="str">
        <f t="shared" si="19"/>
        <v>1</v>
      </c>
      <c r="Q44" t="str">
        <f t="shared" si="19"/>
        <v>1</v>
      </c>
      <c r="R44" t="str">
        <f t="shared" si="19"/>
        <v>0</v>
      </c>
      <c r="S44" t="str">
        <f t="shared" si="19"/>
        <v>1</v>
      </c>
      <c r="T44" t="str">
        <f t="shared" si="19"/>
        <v>0</v>
      </c>
      <c r="U44" t="str">
        <f t="shared" si="19"/>
        <v>1</v>
      </c>
      <c r="V44" t="str">
        <f t="shared" si="19"/>
        <v>1</v>
      </c>
      <c r="W44" t="str">
        <f t="shared" si="19"/>
        <v>1</v>
      </c>
      <c r="X44" t="str">
        <f t="shared" si="19"/>
        <v>0</v>
      </c>
      <c r="Y44" t="str">
        <f t="shared" si="19"/>
        <v>1</v>
      </c>
      <c r="Z44" t="str">
        <f t="shared" si="19"/>
        <v>0</v>
      </c>
      <c r="AA44" t="str">
        <f t="shared" si="19"/>
        <v>0</v>
      </c>
      <c r="AB44" t="str">
        <f t="shared" si="19"/>
        <v>0</v>
      </c>
      <c r="AC44" t="str">
        <f t="shared" si="19"/>
        <v>1</v>
      </c>
      <c r="AD44" t="str">
        <f t="shared" si="19"/>
        <v>1</v>
      </c>
      <c r="AE44" t="str">
        <f t="shared" si="19"/>
        <v>0</v>
      </c>
      <c r="AF44" t="str">
        <f t="shared" si="19"/>
        <v>1</v>
      </c>
      <c r="AG44" t="str">
        <f t="shared" si="19"/>
        <v>1</v>
      </c>
    </row>
    <row r="45" spans="1:33">
      <c r="A45" t="str">
        <f>CONCATENATE("L",C4-1)</f>
        <v>L11</v>
      </c>
      <c r="B45" s="8" t="str">
        <f>'R11'!C6</f>
        <v>01101100101001101100101100100000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1</v>
      </c>
      <c r="D46" t="str">
        <f t="shared" si="20"/>
        <v>1</v>
      </c>
      <c r="E46" t="str">
        <f t="shared" si="20"/>
        <v>0</v>
      </c>
      <c r="F46" t="str">
        <f t="shared" si="20"/>
        <v>1</v>
      </c>
      <c r="G46" t="str">
        <f t="shared" si="20"/>
        <v>1</v>
      </c>
      <c r="H46" t="str">
        <f t="shared" si="20"/>
        <v>0</v>
      </c>
      <c r="I46" t="str">
        <f t="shared" si="20"/>
        <v>0</v>
      </c>
      <c r="J46" t="str">
        <f t="shared" si="20"/>
        <v>1</v>
      </c>
      <c r="K46" t="str">
        <f t="shared" si="20"/>
        <v>0</v>
      </c>
      <c r="L46" t="str">
        <f t="shared" si="20"/>
        <v>1</v>
      </c>
      <c r="M46" t="str">
        <f t="shared" si="20"/>
        <v>0</v>
      </c>
      <c r="N46" t="str">
        <f t="shared" si="20"/>
        <v>0</v>
      </c>
      <c r="O46" t="str">
        <f t="shared" si="20"/>
        <v>1</v>
      </c>
      <c r="P46" t="str">
        <f t="shared" si="20"/>
        <v>1</v>
      </c>
      <c r="Q46" t="str">
        <f t="shared" si="20"/>
        <v>0</v>
      </c>
      <c r="R46" t="str">
        <f t="shared" si="20"/>
        <v>1</v>
      </c>
      <c r="S46" t="str">
        <f t="shared" si="20"/>
        <v>1</v>
      </c>
      <c r="T46" t="str">
        <f t="shared" si="20"/>
        <v>0</v>
      </c>
      <c r="U46" t="str">
        <f t="shared" si="20"/>
        <v>0</v>
      </c>
      <c r="V46" t="str">
        <f t="shared" si="20"/>
        <v>1</v>
      </c>
      <c r="W46" t="str">
        <f t="shared" si="20"/>
        <v>0</v>
      </c>
      <c r="X46" t="str">
        <f t="shared" si="20"/>
        <v>1</v>
      </c>
      <c r="Y46" t="str">
        <f t="shared" si="20"/>
        <v>1</v>
      </c>
      <c r="Z46" t="str">
        <f t="shared" si="20"/>
        <v>0</v>
      </c>
      <c r="AA46" t="str">
        <f t="shared" si="20"/>
        <v>0</v>
      </c>
      <c r="AB46" t="str">
        <f t="shared" si="20"/>
        <v>1</v>
      </c>
      <c r="AC46" t="str">
        <f t="shared" si="20"/>
        <v>0</v>
      </c>
      <c r="AD46" t="str">
        <f t="shared" si="20"/>
        <v>0</v>
      </c>
      <c r="AE46" t="str">
        <f t="shared" si="20"/>
        <v>0</v>
      </c>
      <c r="AF46" t="str">
        <f t="shared" si="20"/>
        <v>0</v>
      </c>
      <c r="AG46" t="str">
        <f t="shared" si="20"/>
        <v>0</v>
      </c>
    </row>
    <row r="47" spans="1:33">
      <c r="A47" t="str">
        <f>CONCATENATE("R",C4)</f>
        <v>R12</v>
      </c>
      <c r="B47">
        <f>IF(B44=B46,0,1)</f>
        <v>0</v>
      </c>
      <c r="C47">
        <f t="shared" ref="C47:AG47" si="21">IF(C44=C46,0,1)</f>
        <v>0</v>
      </c>
      <c r="D47">
        <f t="shared" si="21"/>
        <v>1</v>
      </c>
      <c r="E47">
        <f t="shared" si="21"/>
        <v>0</v>
      </c>
      <c r="F47">
        <f t="shared" si="21"/>
        <v>0</v>
      </c>
      <c r="G47">
        <f t="shared" si="21"/>
        <v>0</v>
      </c>
      <c r="H47">
        <f t="shared" si="21"/>
        <v>1</v>
      </c>
      <c r="I47">
        <f t="shared" si="21"/>
        <v>0</v>
      </c>
      <c r="J47">
        <f t="shared" si="21"/>
        <v>1</v>
      </c>
      <c r="K47">
        <f t="shared" si="21"/>
        <v>0</v>
      </c>
      <c r="L47">
        <f t="shared" si="21"/>
        <v>1</v>
      </c>
      <c r="M47">
        <f t="shared" si="21"/>
        <v>0</v>
      </c>
      <c r="N47">
        <f t="shared" si="21"/>
        <v>0</v>
      </c>
      <c r="O47">
        <f t="shared" si="21"/>
        <v>1</v>
      </c>
      <c r="P47">
        <f t="shared" si="21"/>
        <v>0</v>
      </c>
      <c r="Q47">
        <f t="shared" si="21"/>
        <v>1</v>
      </c>
      <c r="R47">
        <f t="shared" si="21"/>
        <v>1</v>
      </c>
      <c r="S47">
        <f t="shared" si="21"/>
        <v>0</v>
      </c>
      <c r="T47">
        <f t="shared" si="21"/>
        <v>0</v>
      </c>
      <c r="U47">
        <f t="shared" si="21"/>
        <v>1</v>
      </c>
      <c r="V47">
        <f t="shared" si="21"/>
        <v>0</v>
      </c>
      <c r="W47">
        <f t="shared" si="21"/>
        <v>1</v>
      </c>
      <c r="X47">
        <f t="shared" si="21"/>
        <v>1</v>
      </c>
      <c r="Y47">
        <f t="shared" si="21"/>
        <v>0</v>
      </c>
      <c r="Z47">
        <f t="shared" si="21"/>
        <v>0</v>
      </c>
      <c r="AA47">
        <f t="shared" si="21"/>
        <v>0</v>
      </c>
      <c r="AB47">
        <f t="shared" si="21"/>
        <v>1</v>
      </c>
      <c r="AC47">
        <f t="shared" si="21"/>
        <v>1</v>
      </c>
      <c r="AD47">
        <f t="shared" si="21"/>
        <v>1</v>
      </c>
      <c r="AE47">
        <f t="shared" si="21"/>
        <v>0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0010</v>
      </c>
      <c r="F48" t="str">
        <f>CONCATENATE(F47,G47,H47,I47)</f>
        <v>0010</v>
      </c>
      <c r="J48" t="str">
        <f>CONCATENATE(J47,K47,L47,M47)</f>
        <v>1010</v>
      </c>
      <c r="N48" t="str">
        <f>CONCATENATE(N47,O47,P47,Q47)</f>
        <v>0101</v>
      </c>
      <c r="R48" t="str">
        <f>CONCATENATE(R47,S47,T47,U47)</f>
        <v>1001</v>
      </c>
      <c r="V48" t="str">
        <f>CONCATENATE(V47,W47,X47,Y47)</f>
        <v>0110</v>
      </c>
      <c r="Z48" t="str">
        <f>CONCATENATE(Z47,AA47,AB47,AC47)</f>
        <v>0011</v>
      </c>
      <c r="AD48" t="str">
        <f>CONCATENATE(AD47,AE47,AF47,AG47)</f>
        <v>1011</v>
      </c>
    </row>
    <row r="49" spans="1:2">
      <c r="A49" t="str">
        <f>A47</f>
        <v>R12</v>
      </c>
      <c r="B49" t="str">
        <f>CONCATENATE(B48,F48,J48,N48,R48,V48,Z48,AD48)</f>
        <v>00100010101001011001011000111011</v>
      </c>
    </row>
    <row r="50" spans="1:2">
      <c r="A50" t="str">
        <f>CONCATENATE(A49," hex")</f>
        <v>R12 hex</v>
      </c>
      <c r="B50" t="str">
        <f>CONCATENATE(BIN2HEX(B48),BIN2HEX(F48),BIN2HEX(J48),BIN2HEX(N48),BIN2HEX(R48),BIN2HEX(V48),BIN2HEX(Z48),BIN2HEX(AD48))</f>
        <v>22A5963B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50"/>
  <sheetViews>
    <sheetView workbookViewId="0">
      <selection activeCell="V10" sqref="V10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13</v>
      </c>
    </row>
    <row r="5" spans="1:13">
      <c r="A5" t="str">
        <f>CONCATENATE("K",C4)</f>
        <v>K13</v>
      </c>
      <c r="C5" s="8" t="str">
        <f>Kn!O14</f>
        <v>100110011100001100010011100101111100100100011111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L13   =</v>
      </c>
      <c r="B6" t="str">
        <f>CONCATENATE("R",(C4-1))</f>
        <v>R12</v>
      </c>
      <c r="C6" s="8" t="str">
        <f>'R12'!B49</f>
        <v>00100010101001011001011000111011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E(R12)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0</v>
      </c>
      <c r="E8" s="1" t="str">
        <f t="shared" si="0"/>
        <v>0</v>
      </c>
      <c r="F8" s="1" t="str">
        <f t="shared" si="0"/>
        <v>1</v>
      </c>
      <c r="G8" s="1" t="str">
        <f t="shared" si="0"/>
        <v>0</v>
      </c>
      <c r="H8" s="1" t="str">
        <f t="shared" si="0"/>
        <v>0</v>
      </c>
      <c r="I8" s="6" t="str">
        <f>CONCATENATE(C8,D8,E8,F8,G8,H8)</f>
        <v>100100</v>
      </c>
    </row>
    <row r="9" spans="1:13">
      <c r="B9">
        <v>2</v>
      </c>
      <c r="C9" s="1" t="str">
        <f t="shared" si="0"/>
        <v>0</v>
      </c>
      <c r="D9" s="1" t="str">
        <f t="shared" si="0"/>
        <v>0</v>
      </c>
      <c r="E9" s="1" t="str">
        <f t="shared" si="0"/>
        <v>0</v>
      </c>
      <c r="F9" s="1" t="str">
        <f t="shared" si="0"/>
        <v>1</v>
      </c>
      <c r="G9" s="1" t="str">
        <f t="shared" si="0"/>
        <v>0</v>
      </c>
      <c r="H9" s="1" t="str">
        <f t="shared" si="0"/>
        <v>1</v>
      </c>
      <c r="I9" s="6" t="str">
        <f t="shared" ref="I9:I15" si="1">CONCATENATE(C9,D9,E9,F9,G9,H9)</f>
        <v>000101</v>
      </c>
    </row>
    <row r="10" spans="1:13">
      <c r="B10">
        <v>3</v>
      </c>
      <c r="C10" s="1" t="str">
        <f t="shared" si="0"/>
        <v>0</v>
      </c>
      <c r="D10" s="1" t="str">
        <f t="shared" si="0"/>
        <v>1</v>
      </c>
      <c r="E10" s="1" t="str">
        <f t="shared" si="0"/>
        <v>0</v>
      </c>
      <c r="F10" s="1" t="str">
        <f t="shared" si="0"/>
        <v>1</v>
      </c>
      <c r="G10" s="1" t="str">
        <f t="shared" si="0"/>
        <v>0</v>
      </c>
      <c r="H10" s="1" t="str">
        <f t="shared" si="0"/>
        <v>0</v>
      </c>
      <c r="I10" s="6" t="str">
        <f t="shared" si="1"/>
        <v>010100</v>
      </c>
    </row>
    <row r="11" spans="1:13">
      <c r="B11">
        <v>4</v>
      </c>
      <c r="C11" s="1" t="str">
        <f t="shared" si="0"/>
        <v>0</v>
      </c>
      <c r="D11" s="1" t="str">
        <f t="shared" si="0"/>
        <v>0</v>
      </c>
      <c r="E11" s="1" t="str">
        <f t="shared" si="0"/>
        <v>1</v>
      </c>
      <c r="F11" s="1" t="str">
        <f t="shared" si="0"/>
        <v>0</v>
      </c>
      <c r="G11" s="1" t="str">
        <f t="shared" si="0"/>
        <v>1</v>
      </c>
      <c r="H11" s="1" t="str">
        <f t="shared" si="0"/>
        <v>1</v>
      </c>
      <c r="I11" s="6" t="str">
        <f t="shared" si="1"/>
        <v>001011</v>
      </c>
    </row>
    <row r="12" spans="1:13">
      <c r="B12">
        <v>5</v>
      </c>
      <c r="C12" s="1" t="str">
        <f t="shared" si="0"/>
        <v>1</v>
      </c>
      <c r="D12" s="1" t="str">
        <f t="shared" si="0"/>
        <v>1</v>
      </c>
      <c r="E12" s="1" t="str">
        <f t="shared" si="0"/>
        <v>0</v>
      </c>
      <c r="F12" s="1" t="str">
        <f t="shared" si="0"/>
        <v>0</v>
      </c>
      <c r="G12" s="1" t="str">
        <f t="shared" si="0"/>
        <v>1</v>
      </c>
      <c r="H12" s="1" t="str">
        <f t="shared" si="0"/>
        <v>0</v>
      </c>
      <c r="I12" s="6" t="str">
        <f t="shared" si="1"/>
        <v>110010</v>
      </c>
    </row>
    <row r="13" spans="1:13">
      <c r="B13">
        <v>6</v>
      </c>
      <c r="C13" s="1" t="str">
        <f t="shared" si="0"/>
        <v>1</v>
      </c>
      <c r="D13" s="1" t="str">
        <f t="shared" si="0"/>
        <v>0</v>
      </c>
      <c r="E13" s="1" t="str">
        <f t="shared" si="0"/>
        <v>1</v>
      </c>
      <c r="F13" s="1" t="str">
        <f t="shared" si="0"/>
        <v>1</v>
      </c>
      <c r="G13" s="1" t="str">
        <f t="shared" si="0"/>
        <v>0</v>
      </c>
      <c r="H13" s="1" t="str">
        <f t="shared" si="0"/>
        <v>0</v>
      </c>
      <c r="I13" s="6" t="str">
        <f t="shared" si="1"/>
        <v>101100</v>
      </c>
    </row>
    <row r="14" spans="1:13">
      <c r="B14">
        <v>7</v>
      </c>
      <c r="C14" s="1" t="str">
        <f t="shared" si="0"/>
        <v>0</v>
      </c>
      <c r="D14" s="1" t="str">
        <f t="shared" si="0"/>
        <v>0</v>
      </c>
      <c r="E14" s="1" t="str">
        <f t="shared" si="0"/>
        <v>0</v>
      </c>
      <c r="F14" s="1" t="str">
        <f t="shared" si="0"/>
        <v>1</v>
      </c>
      <c r="G14" s="1" t="str">
        <f t="shared" si="0"/>
        <v>1</v>
      </c>
      <c r="H14" s="1" t="str">
        <f t="shared" si="0"/>
        <v>1</v>
      </c>
      <c r="I14" s="6" t="str">
        <f t="shared" si="1"/>
        <v>000111</v>
      </c>
    </row>
    <row r="15" spans="1:13">
      <c r="B15">
        <v>8</v>
      </c>
      <c r="C15" s="1" t="str">
        <f t="shared" si="0"/>
        <v>1</v>
      </c>
      <c r="D15" s="1" t="str">
        <f t="shared" si="0"/>
        <v>1</v>
      </c>
      <c r="E15" s="1" t="str">
        <f t="shared" si="0"/>
        <v>0</v>
      </c>
      <c r="F15" s="1" t="str">
        <f t="shared" si="0"/>
        <v>1</v>
      </c>
      <c r="G15" s="1" t="str">
        <f t="shared" si="0"/>
        <v>1</v>
      </c>
      <c r="H15" s="1" t="str">
        <f t="shared" si="0"/>
        <v>0</v>
      </c>
      <c r="I15" s="6" t="str">
        <f t="shared" si="1"/>
        <v>110110</v>
      </c>
    </row>
    <row r="16" spans="1:13">
      <c r="A16" t="str">
        <f>A8</f>
        <v>E(R12)</v>
      </c>
      <c r="B16" t="str">
        <f>CONCATENATE(I8,I9,I10,I11,I12,I13,I14,I15)</f>
        <v>100100000101010100001011110010101100000111110110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K13</v>
      </c>
      <c r="B19" t="str">
        <f>MID($C$5,B18,1)</f>
        <v>1</v>
      </c>
      <c r="C19" t="str">
        <f t="shared" ref="C19:AW19" si="2">MID($C$5,C18,1)</f>
        <v>0</v>
      </c>
      <c r="D19" t="str">
        <f t="shared" si="2"/>
        <v>0</v>
      </c>
      <c r="E19" t="str">
        <f t="shared" si="2"/>
        <v>1</v>
      </c>
      <c r="F19" t="str">
        <f t="shared" si="2"/>
        <v>1</v>
      </c>
      <c r="G19" t="str">
        <f t="shared" si="2"/>
        <v>0</v>
      </c>
      <c r="H19" t="str">
        <f t="shared" si="2"/>
        <v>0</v>
      </c>
      <c r="I19" t="str">
        <f t="shared" si="2"/>
        <v>1</v>
      </c>
      <c r="J19" t="str">
        <f t="shared" si="2"/>
        <v>1</v>
      </c>
      <c r="K19" t="str">
        <f t="shared" si="2"/>
        <v>1</v>
      </c>
      <c r="L19" t="str">
        <f t="shared" si="2"/>
        <v>0</v>
      </c>
      <c r="M19" t="str">
        <f t="shared" si="2"/>
        <v>0</v>
      </c>
      <c r="N19" t="str">
        <f t="shared" si="2"/>
        <v>0</v>
      </c>
      <c r="O19" t="str">
        <f t="shared" si="2"/>
        <v>0</v>
      </c>
      <c r="P19" t="str">
        <f t="shared" si="2"/>
        <v>1</v>
      </c>
      <c r="Q19" t="str">
        <f t="shared" si="2"/>
        <v>1</v>
      </c>
      <c r="R19" t="str">
        <f t="shared" si="2"/>
        <v>0</v>
      </c>
      <c r="S19" t="str">
        <f t="shared" si="2"/>
        <v>0</v>
      </c>
      <c r="T19" t="str">
        <f t="shared" si="2"/>
        <v>0</v>
      </c>
      <c r="U19" t="str">
        <f t="shared" si="2"/>
        <v>1</v>
      </c>
      <c r="V19" t="str">
        <f t="shared" si="2"/>
        <v>0</v>
      </c>
      <c r="W19" t="str">
        <f t="shared" si="2"/>
        <v>0</v>
      </c>
      <c r="X19" t="str">
        <f t="shared" si="2"/>
        <v>1</v>
      </c>
      <c r="Y19" t="str">
        <f t="shared" si="2"/>
        <v>1</v>
      </c>
      <c r="Z19" t="str">
        <f t="shared" si="2"/>
        <v>1</v>
      </c>
      <c r="AA19" t="str">
        <f t="shared" si="2"/>
        <v>0</v>
      </c>
      <c r="AB19" t="str">
        <f t="shared" si="2"/>
        <v>0</v>
      </c>
      <c r="AC19" t="str">
        <f t="shared" si="2"/>
        <v>1</v>
      </c>
      <c r="AD19" t="str">
        <f t="shared" si="2"/>
        <v>0</v>
      </c>
      <c r="AE19" t="str">
        <f t="shared" si="2"/>
        <v>1</v>
      </c>
      <c r="AF19" t="str">
        <f t="shared" si="2"/>
        <v>1</v>
      </c>
      <c r="AG19" t="str">
        <f t="shared" si="2"/>
        <v>1</v>
      </c>
      <c r="AH19" t="str">
        <f t="shared" si="2"/>
        <v>1</v>
      </c>
      <c r="AI19" t="str">
        <f t="shared" si="2"/>
        <v>1</v>
      </c>
      <c r="AJ19" t="str">
        <f t="shared" si="2"/>
        <v>0</v>
      </c>
      <c r="AK19" t="str">
        <f t="shared" si="2"/>
        <v>0</v>
      </c>
      <c r="AL19" t="str">
        <f t="shared" si="2"/>
        <v>1</v>
      </c>
      <c r="AM19" t="str">
        <f t="shared" si="2"/>
        <v>0</v>
      </c>
      <c r="AN19" t="str">
        <f t="shared" si="2"/>
        <v>0</v>
      </c>
      <c r="AO19" t="str">
        <f t="shared" si="2"/>
        <v>1</v>
      </c>
      <c r="AP19" t="str">
        <f t="shared" si="2"/>
        <v>0</v>
      </c>
      <c r="AQ19" t="str">
        <f t="shared" si="2"/>
        <v>0</v>
      </c>
      <c r="AR19" t="str">
        <f t="shared" si="2"/>
        <v>0</v>
      </c>
      <c r="AS19" t="str">
        <f t="shared" si="2"/>
        <v>1</v>
      </c>
      <c r="AT19" t="str">
        <f t="shared" si="2"/>
        <v>1</v>
      </c>
      <c r="AU19" t="str">
        <f t="shared" si="2"/>
        <v>1</v>
      </c>
      <c r="AV19" t="str">
        <f t="shared" si="2"/>
        <v>1</v>
      </c>
      <c r="AW19" t="str">
        <f t="shared" si="2"/>
        <v>1</v>
      </c>
    </row>
    <row r="20" spans="1:49">
      <c r="A20" t="str">
        <f>A16</f>
        <v>E(R12)</v>
      </c>
      <c r="B20" t="str">
        <f>MID($B$16,B18,1)</f>
        <v>1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1</v>
      </c>
      <c r="F20" t="str">
        <f t="shared" si="3"/>
        <v>0</v>
      </c>
      <c r="G20" t="str">
        <f t="shared" si="3"/>
        <v>0</v>
      </c>
      <c r="H20" t="str">
        <f t="shared" si="3"/>
        <v>0</v>
      </c>
      <c r="I20" t="str">
        <f t="shared" si="3"/>
        <v>0</v>
      </c>
      <c r="J20" t="str">
        <f t="shared" si="3"/>
        <v>0</v>
      </c>
      <c r="K20" t="str">
        <f t="shared" si="3"/>
        <v>1</v>
      </c>
      <c r="L20" t="str">
        <f t="shared" si="3"/>
        <v>0</v>
      </c>
      <c r="M20" t="str">
        <f t="shared" si="3"/>
        <v>1</v>
      </c>
      <c r="N20" t="str">
        <f t="shared" si="3"/>
        <v>0</v>
      </c>
      <c r="O20" t="str">
        <f t="shared" si="3"/>
        <v>1</v>
      </c>
      <c r="P20" t="str">
        <f t="shared" si="3"/>
        <v>0</v>
      </c>
      <c r="Q20" t="str">
        <f t="shared" si="3"/>
        <v>1</v>
      </c>
      <c r="R20" t="str">
        <f t="shared" si="3"/>
        <v>0</v>
      </c>
      <c r="S20" t="str">
        <f t="shared" si="3"/>
        <v>0</v>
      </c>
      <c r="T20" t="str">
        <f t="shared" si="3"/>
        <v>0</v>
      </c>
      <c r="U20" t="str">
        <f t="shared" si="3"/>
        <v>0</v>
      </c>
      <c r="V20" t="str">
        <f t="shared" si="3"/>
        <v>1</v>
      </c>
      <c r="W20" t="str">
        <f t="shared" si="3"/>
        <v>0</v>
      </c>
      <c r="X20" t="str">
        <f t="shared" si="3"/>
        <v>1</v>
      </c>
      <c r="Y20" t="str">
        <f t="shared" si="3"/>
        <v>1</v>
      </c>
      <c r="Z20" t="str">
        <f t="shared" si="3"/>
        <v>1</v>
      </c>
      <c r="AA20" t="str">
        <f t="shared" si="3"/>
        <v>1</v>
      </c>
      <c r="AB20" t="str">
        <f t="shared" si="3"/>
        <v>0</v>
      </c>
      <c r="AC20" t="str">
        <f t="shared" si="3"/>
        <v>0</v>
      </c>
      <c r="AD20" t="str">
        <f t="shared" si="3"/>
        <v>1</v>
      </c>
      <c r="AE20" t="str">
        <f t="shared" si="3"/>
        <v>0</v>
      </c>
      <c r="AF20" t="str">
        <f t="shared" si="3"/>
        <v>1</v>
      </c>
      <c r="AG20" t="str">
        <f t="shared" si="3"/>
        <v>0</v>
      </c>
      <c r="AH20" t="str">
        <f t="shared" si="3"/>
        <v>1</v>
      </c>
      <c r="AI20" t="str">
        <f t="shared" si="3"/>
        <v>1</v>
      </c>
      <c r="AJ20" t="str">
        <f t="shared" si="3"/>
        <v>0</v>
      </c>
      <c r="AK20" t="str">
        <f t="shared" si="3"/>
        <v>0</v>
      </c>
      <c r="AL20" t="str">
        <f t="shared" si="3"/>
        <v>0</v>
      </c>
      <c r="AM20" t="str">
        <f t="shared" si="3"/>
        <v>0</v>
      </c>
      <c r="AN20" t="str">
        <f t="shared" si="3"/>
        <v>0</v>
      </c>
      <c r="AO20" t="str">
        <f t="shared" si="3"/>
        <v>1</v>
      </c>
      <c r="AP20" t="str">
        <f t="shared" si="3"/>
        <v>1</v>
      </c>
      <c r="AQ20" t="str">
        <f t="shared" si="3"/>
        <v>1</v>
      </c>
      <c r="AR20" t="str">
        <f t="shared" si="3"/>
        <v>1</v>
      </c>
      <c r="AS20" t="str">
        <f t="shared" si="3"/>
        <v>1</v>
      </c>
      <c r="AT20" t="str">
        <f t="shared" si="3"/>
        <v>0</v>
      </c>
      <c r="AU20" t="str">
        <f t="shared" si="3"/>
        <v>1</v>
      </c>
      <c r="AV20" t="str">
        <f t="shared" si="3"/>
        <v>1</v>
      </c>
      <c r="AW20" t="str">
        <f t="shared" si="3"/>
        <v>0</v>
      </c>
    </row>
    <row r="21" spans="1:49">
      <c r="A21" s="6" t="str">
        <f>CONCATENATE(A19," + ",A20)</f>
        <v>K13 + E(R12)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0</v>
      </c>
      <c r="E21" s="1">
        <f t="shared" si="4"/>
        <v>0</v>
      </c>
      <c r="F21" s="1">
        <f t="shared" si="4"/>
        <v>1</v>
      </c>
      <c r="G21" s="1">
        <f t="shared" si="4"/>
        <v>0</v>
      </c>
      <c r="H21" s="1">
        <f t="shared" si="4"/>
        <v>0</v>
      </c>
      <c r="I21" s="1">
        <f t="shared" si="4"/>
        <v>1</v>
      </c>
      <c r="J21" s="1">
        <f t="shared" si="4"/>
        <v>1</v>
      </c>
      <c r="K21" s="1">
        <f t="shared" si="4"/>
        <v>0</v>
      </c>
      <c r="L21" s="1">
        <f t="shared" si="4"/>
        <v>0</v>
      </c>
      <c r="M21" s="1">
        <f t="shared" si="4"/>
        <v>1</v>
      </c>
      <c r="N21" s="1">
        <f t="shared" si="4"/>
        <v>0</v>
      </c>
      <c r="O21" s="1">
        <f t="shared" si="4"/>
        <v>1</v>
      </c>
      <c r="P21" s="1">
        <f t="shared" si="4"/>
        <v>1</v>
      </c>
      <c r="Q21" s="1">
        <f t="shared" si="4"/>
        <v>0</v>
      </c>
      <c r="R21" s="1">
        <f t="shared" si="4"/>
        <v>0</v>
      </c>
      <c r="S21" s="1">
        <f t="shared" si="4"/>
        <v>0</v>
      </c>
      <c r="T21" s="1">
        <f t="shared" si="4"/>
        <v>0</v>
      </c>
      <c r="U21" s="1">
        <f t="shared" si="4"/>
        <v>1</v>
      </c>
      <c r="V21" s="1">
        <f t="shared" si="4"/>
        <v>1</v>
      </c>
      <c r="W21" s="1">
        <f t="shared" si="4"/>
        <v>0</v>
      </c>
      <c r="X21" s="1">
        <f t="shared" si="4"/>
        <v>0</v>
      </c>
      <c r="Y21" s="1">
        <f t="shared" si="4"/>
        <v>0</v>
      </c>
      <c r="Z21" s="1">
        <f t="shared" si="4"/>
        <v>0</v>
      </c>
      <c r="AA21" s="1">
        <f t="shared" si="4"/>
        <v>1</v>
      </c>
      <c r="AB21" s="1">
        <f t="shared" si="4"/>
        <v>0</v>
      </c>
      <c r="AC21" s="1">
        <f t="shared" si="4"/>
        <v>1</v>
      </c>
      <c r="AD21" s="1">
        <f t="shared" si="4"/>
        <v>1</v>
      </c>
      <c r="AE21" s="1">
        <f t="shared" si="4"/>
        <v>1</v>
      </c>
      <c r="AF21" s="1">
        <f t="shared" si="4"/>
        <v>0</v>
      </c>
      <c r="AG21" s="1">
        <f t="shared" si="4"/>
        <v>1</v>
      </c>
      <c r="AH21" s="1">
        <f t="shared" si="4"/>
        <v>0</v>
      </c>
      <c r="AI21" s="1">
        <f t="shared" si="4"/>
        <v>0</v>
      </c>
      <c r="AJ21" s="1">
        <f t="shared" si="4"/>
        <v>0</v>
      </c>
      <c r="AK21" s="1">
        <f t="shared" si="4"/>
        <v>0</v>
      </c>
      <c r="AL21" s="1">
        <f t="shared" si="4"/>
        <v>1</v>
      </c>
      <c r="AM21" s="1">
        <f t="shared" si="4"/>
        <v>0</v>
      </c>
      <c r="AN21" s="1">
        <f t="shared" si="4"/>
        <v>0</v>
      </c>
      <c r="AO21" s="1">
        <f t="shared" si="4"/>
        <v>0</v>
      </c>
      <c r="AP21" s="1">
        <f t="shared" si="4"/>
        <v>1</v>
      </c>
      <c r="AQ21" s="1">
        <f t="shared" si="4"/>
        <v>1</v>
      </c>
      <c r="AR21" s="1">
        <f t="shared" si="4"/>
        <v>1</v>
      </c>
      <c r="AS21" s="1">
        <f t="shared" si="4"/>
        <v>0</v>
      </c>
      <c r="AT21" s="1">
        <f t="shared" si="4"/>
        <v>1</v>
      </c>
      <c r="AU21" s="1">
        <f t="shared" si="4"/>
        <v>0</v>
      </c>
      <c r="AV21" s="1">
        <f t="shared" si="4"/>
        <v>0</v>
      </c>
      <c r="AW21" s="1">
        <f t="shared" si="4"/>
        <v>1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0</v>
      </c>
      <c r="E23">
        <f t="shared" si="5"/>
        <v>0</v>
      </c>
      <c r="F23">
        <f t="shared" si="5"/>
        <v>1</v>
      </c>
      <c r="G23">
        <f t="shared" si="5"/>
        <v>0</v>
      </c>
      <c r="H23" t="str">
        <f>CONCATENATE(B23,G23)</f>
        <v>00</v>
      </c>
      <c r="I23" t="str">
        <f>CONCATENATE(C23,D23,E23,F23)</f>
        <v>0001</v>
      </c>
      <c r="J23">
        <f>BIN2DEC(H23)</f>
        <v>0</v>
      </c>
      <c r="K23">
        <f>BIN2DEC(I23)</f>
        <v>1</v>
      </c>
      <c r="L23">
        <f>VLOOKUP(J23,S1_BOX,K23+2,FALSE)</f>
        <v>4</v>
      </c>
      <c r="M23" t="str">
        <f>DEC2BIN(L23,4)</f>
        <v>0100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1</v>
      </c>
      <c r="E24">
        <f t="shared" si="6"/>
        <v>0</v>
      </c>
      <c r="F24">
        <f t="shared" si="6"/>
        <v>0</v>
      </c>
      <c r="G24">
        <f t="shared" si="6"/>
        <v>1</v>
      </c>
      <c r="H24" t="str">
        <f t="shared" ref="H24:H30" si="7">CONCATENATE(B24,G24)</f>
        <v>01</v>
      </c>
      <c r="I24" t="str">
        <f t="shared" ref="I24:I30" si="8">CONCATENATE(C24,D24,E24,F24)</f>
        <v>1100</v>
      </c>
      <c r="J24">
        <f t="shared" ref="J24:K30" si="9">BIN2DEC(H24)</f>
        <v>1</v>
      </c>
      <c r="K24">
        <f t="shared" si="9"/>
        <v>12</v>
      </c>
      <c r="L24">
        <f>VLOOKUP(J24,S2_BOX,K24+2,FALSE)</f>
        <v>6</v>
      </c>
      <c r="M24" t="str">
        <f t="shared" ref="M24:M30" si="10">DEC2BIN(L24,4)</f>
        <v>0110</v>
      </c>
    </row>
    <row r="25" spans="1:49">
      <c r="A25" t="s">
        <v>156</v>
      </c>
      <c r="B25">
        <f>N21</f>
        <v>0</v>
      </c>
      <c r="C25">
        <f t="shared" ref="C25:G25" si="11">O21</f>
        <v>1</v>
      </c>
      <c r="D25">
        <f t="shared" si="11"/>
        <v>1</v>
      </c>
      <c r="E25">
        <f t="shared" si="11"/>
        <v>0</v>
      </c>
      <c r="F25">
        <f t="shared" si="11"/>
        <v>0</v>
      </c>
      <c r="G25">
        <f t="shared" si="11"/>
        <v>0</v>
      </c>
      <c r="H25" t="str">
        <f t="shared" si="7"/>
        <v>00</v>
      </c>
      <c r="I25" t="str">
        <f t="shared" si="8"/>
        <v>1100</v>
      </c>
      <c r="J25">
        <f t="shared" si="9"/>
        <v>0</v>
      </c>
      <c r="K25">
        <f t="shared" si="9"/>
        <v>12</v>
      </c>
      <c r="L25">
        <f>VLOOKUP(J25,S3_BOX,K25+2,FALSE)</f>
        <v>11</v>
      </c>
      <c r="M25" t="str">
        <f t="shared" si="10"/>
        <v>1011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1</v>
      </c>
      <c r="E26">
        <f t="shared" si="12"/>
        <v>0</v>
      </c>
      <c r="F26">
        <f t="shared" si="12"/>
        <v>0</v>
      </c>
      <c r="G26">
        <f t="shared" si="12"/>
        <v>0</v>
      </c>
      <c r="H26" t="str">
        <f t="shared" si="7"/>
        <v>00</v>
      </c>
      <c r="I26" t="str">
        <f t="shared" si="8"/>
        <v>1100</v>
      </c>
      <c r="J26">
        <f t="shared" si="9"/>
        <v>0</v>
      </c>
      <c r="K26">
        <f t="shared" si="9"/>
        <v>12</v>
      </c>
      <c r="L26">
        <f>VLOOKUP(J26,S4_BOX,K26+2,FALSE)</f>
        <v>11</v>
      </c>
      <c r="M26" t="str">
        <f t="shared" si="10"/>
        <v>1011</v>
      </c>
    </row>
    <row r="27" spans="1:49">
      <c r="A27" t="s">
        <v>158</v>
      </c>
      <c r="B27">
        <f>Z21</f>
        <v>0</v>
      </c>
      <c r="C27">
        <f t="shared" ref="C27:G27" si="13">AA21</f>
        <v>1</v>
      </c>
      <c r="D27">
        <f t="shared" si="13"/>
        <v>0</v>
      </c>
      <c r="E27">
        <f t="shared" si="13"/>
        <v>1</v>
      </c>
      <c r="F27">
        <f t="shared" si="13"/>
        <v>1</v>
      </c>
      <c r="G27">
        <f t="shared" si="13"/>
        <v>1</v>
      </c>
      <c r="H27" t="str">
        <f t="shared" si="7"/>
        <v>01</v>
      </c>
      <c r="I27" t="str">
        <f t="shared" si="8"/>
        <v>1011</v>
      </c>
      <c r="J27">
        <f t="shared" si="9"/>
        <v>1</v>
      </c>
      <c r="K27">
        <f t="shared" si="9"/>
        <v>11</v>
      </c>
      <c r="L27">
        <f>VLOOKUP(J27,S5_BOX,K27+2,FALSE)</f>
        <v>10</v>
      </c>
      <c r="M27" t="str">
        <f t="shared" si="10"/>
        <v>1010</v>
      </c>
    </row>
    <row r="28" spans="1:49">
      <c r="A28" t="s">
        <v>159</v>
      </c>
      <c r="B28">
        <f>AF21</f>
        <v>0</v>
      </c>
      <c r="C28">
        <f t="shared" ref="C28:G28" si="14">AG21</f>
        <v>1</v>
      </c>
      <c r="D28">
        <f t="shared" si="14"/>
        <v>0</v>
      </c>
      <c r="E28">
        <f t="shared" si="14"/>
        <v>0</v>
      </c>
      <c r="F28">
        <f t="shared" si="14"/>
        <v>0</v>
      </c>
      <c r="G28">
        <f t="shared" si="14"/>
        <v>0</v>
      </c>
      <c r="H28" t="str">
        <f t="shared" si="7"/>
        <v>00</v>
      </c>
      <c r="I28" t="str">
        <f t="shared" si="8"/>
        <v>1000</v>
      </c>
      <c r="J28">
        <f t="shared" si="9"/>
        <v>0</v>
      </c>
      <c r="K28">
        <f t="shared" si="9"/>
        <v>8</v>
      </c>
      <c r="L28">
        <f>VLOOKUP(J28,S6_BOX,K28+2,FALSE)</f>
        <v>0</v>
      </c>
      <c r="M28" t="str">
        <f t="shared" si="10"/>
        <v>0000</v>
      </c>
    </row>
    <row r="29" spans="1:49">
      <c r="A29" t="s">
        <v>160</v>
      </c>
      <c r="B29">
        <f>AL21</f>
        <v>1</v>
      </c>
      <c r="C29">
        <f t="shared" ref="C29:G29" si="15">AM21</f>
        <v>0</v>
      </c>
      <c r="D29">
        <f t="shared" si="15"/>
        <v>0</v>
      </c>
      <c r="E29">
        <f t="shared" si="15"/>
        <v>0</v>
      </c>
      <c r="F29">
        <f t="shared" si="15"/>
        <v>1</v>
      </c>
      <c r="G29">
        <f t="shared" si="15"/>
        <v>1</v>
      </c>
      <c r="H29" t="str">
        <f t="shared" si="7"/>
        <v>11</v>
      </c>
      <c r="I29" t="str">
        <f t="shared" si="8"/>
        <v>0001</v>
      </c>
      <c r="J29">
        <f t="shared" si="9"/>
        <v>3</v>
      </c>
      <c r="K29">
        <f t="shared" si="9"/>
        <v>1</v>
      </c>
      <c r="L29">
        <f>VLOOKUP(J29,S7_BOX,K29+2,FALSE)</f>
        <v>11</v>
      </c>
      <c r="M29" t="str">
        <f t="shared" si="10"/>
        <v>1011</v>
      </c>
    </row>
    <row r="30" spans="1:49">
      <c r="A30" t="s">
        <v>161</v>
      </c>
      <c r="B30">
        <f>AR21</f>
        <v>1</v>
      </c>
      <c r="C30">
        <f t="shared" ref="C30:G30" si="16">AS21</f>
        <v>0</v>
      </c>
      <c r="D30">
        <f t="shared" si="16"/>
        <v>1</v>
      </c>
      <c r="E30">
        <f t="shared" si="16"/>
        <v>0</v>
      </c>
      <c r="F30">
        <f t="shared" si="16"/>
        <v>0</v>
      </c>
      <c r="G30">
        <f t="shared" si="16"/>
        <v>1</v>
      </c>
      <c r="H30" t="str">
        <f t="shared" si="7"/>
        <v>11</v>
      </c>
      <c r="I30" t="str">
        <f t="shared" si="8"/>
        <v>0100</v>
      </c>
      <c r="J30">
        <f t="shared" si="9"/>
        <v>3</v>
      </c>
      <c r="K30">
        <f t="shared" si="9"/>
        <v>4</v>
      </c>
      <c r="L30">
        <f>VLOOKUP(J30,S8_BOX,K30+2,FALSE)</f>
        <v>4</v>
      </c>
      <c r="M30" t="str">
        <f t="shared" si="10"/>
        <v>0100</v>
      </c>
    </row>
    <row r="31" spans="1:49">
      <c r="A31" t="s">
        <v>162</v>
      </c>
      <c r="B31" t="str">
        <f>CONCATENATE(M23,M24,M25,M26,M27,M28,M29,M30)</f>
        <v>01000110101110111010000010110100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1</v>
      </c>
      <c r="E34" t="str">
        <f t="shared" si="17"/>
        <v>0</v>
      </c>
      <c r="F34" t="str">
        <f t="shared" si="17"/>
        <v>0</v>
      </c>
      <c r="G34" t="str">
        <f>CONCATENATE(C34,D34,E34,F34)</f>
        <v>1100</v>
      </c>
    </row>
    <row r="35" spans="1:33">
      <c r="B35">
        <v>2</v>
      </c>
      <c r="C35" t="str">
        <f t="shared" si="17"/>
        <v>0</v>
      </c>
      <c r="D35" t="str">
        <f t="shared" si="17"/>
        <v>1</v>
      </c>
      <c r="E35" t="str">
        <f t="shared" si="17"/>
        <v>1</v>
      </c>
      <c r="F35" t="str">
        <f t="shared" si="17"/>
        <v>1</v>
      </c>
      <c r="G35" t="str">
        <f t="shared" ref="G35:G41" si="18">CONCATENATE(C35,D35,E35,F35)</f>
        <v>0111</v>
      </c>
    </row>
    <row r="36" spans="1:33">
      <c r="B36">
        <v>3</v>
      </c>
      <c r="C36" t="str">
        <f t="shared" si="17"/>
        <v>0</v>
      </c>
      <c r="D36" t="str">
        <f t="shared" si="17"/>
        <v>1</v>
      </c>
      <c r="E36" t="str">
        <f t="shared" si="17"/>
        <v>0</v>
      </c>
      <c r="F36" t="str">
        <f t="shared" si="17"/>
        <v>0</v>
      </c>
      <c r="G36" t="str">
        <f t="shared" si="18"/>
        <v>0100</v>
      </c>
    </row>
    <row r="37" spans="1:33">
      <c r="B37">
        <v>4</v>
      </c>
      <c r="C37" t="str">
        <f t="shared" si="17"/>
        <v>0</v>
      </c>
      <c r="D37" t="str">
        <f t="shared" si="17"/>
        <v>0</v>
      </c>
      <c r="E37" t="str">
        <f t="shared" si="17"/>
        <v>0</v>
      </c>
      <c r="F37" t="str">
        <f t="shared" si="17"/>
        <v>0</v>
      </c>
      <c r="G37" t="str">
        <f t="shared" si="18"/>
        <v>0000</v>
      </c>
    </row>
    <row r="38" spans="1:33">
      <c r="B38">
        <v>5</v>
      </c>
      <c r="C38" t="str">
        <f t="shared" si="17"/>
        <v>1</v>
      </c>
      <c r="D38" t="str">
        <f t="shared" si="17"/>
        <v>0</v>
      </c>
      <c r="E38" t="str">
        <f t="shared" si="17"/>
        <v>0</v>
      </c>
      <c r="F38" t="str">
        <f t="shared" si="17"/>
        <v>0</v>
      </c>
      <c r="G38" t="str">
        <f t="shared" si="18"/>
        <v>1000</v>
      </c>
    </row>
    <row r="39" spans="1:33">
      <c r="B39">
        <v>6</v>
      </c>
      <c r="C39" t="str">
        <f t="shared" si="17"/>
        <v>0</v>
      </c>
      <c r="D39" t="str">
        <f t="shared" si="17"/>
        <v>1</v>
      </c>
      <c r="E39" t="str">
        <f t="shared" si="17"/>
        <v>0</v>
      </c>
      <c r="F39" t="str">
        <f t="shared" si="17"/>
        <v>1</v>
      </c>
      <c r="G39" t="str">
        <f t="shared" si="18"/>
        <v>0101</v>
      </c>
    </row>
    <row r="40" spans="1:33">
      <c r="B40">
        <v>7</v>
      </c>
      <c r="C40" t="str">
        <f t="shared" si="17"/>
        <v>1</v>
      </c>
      <c r="D40" t="str">
        <f t="shared" si="17"/>
        <v>1</v>
      </c>
      <c r="E40" t="str">
        <f t="shared" si="17"/>
        <v>1</v>
      </c>
      <c r="F40" t="str">
        <f t="shared" si="17"/>
        <v>1</v>
      </c>
      <c r="G40" t="str">
        <f t="shared" si="18"/>
        <v>1111</v>
      </c>
    </row>
    <row r="41" spans="1:33">
      <c r="B41">
        <v>8</v>
      </c>
      <c r="C41" t="str">
        <f t="shared" si="17"/>
        <v>0</v>
      </c>
      <c r="D41" t="str">
        <f t="shared" si="17"/>
        <v>1</v>
      </c>
      <c r="E41" t="str">
        <f t="shared" si="17"/>
        <v>0</v>
      </c>
      <c r="F41" t="str">
        <f t="shared" si="17"/>
        <v>1</v>
      </c>
      <c r="G41" t="str">
        <f t="shared" si="18"/>
        <v>0101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11000111010000001000010111110101</v>
      </c>
    </row>
    <row r="44" spans="1:33">
      <c r="B44" t="str">
        <f>MID($B$43,B42,1)</f>
        <v>1</v>
      </c>
      <c r="C44" t="str">
        <f t="shared" ref="C44:AG44" si="19">MID($B$43,C42,1)</f>
        <v>1</v>
      </c>
      <c r="D44" t="str">
        <f t="shared" si="19"/>
        <v>0</v>
      </c>
      <c r="E44" t="str">
        <f t="shared" si="19"/>
        <v>0</v>
      </c>
      <c r="F44" t="str">
        <f t="shared" si="19"/>
        <v>0</v>
      </c>
      <c r="G44" t="str">
        <f t="shared" si="19"/>
        <v>1</v>
      </c>
      <c r="H44" t="str">
        <f t="shared" si="19"/>
        <v>1</v>
      </c>
      <c r="I44" t="str">
        <f t="shared" si="19"/>
        <v>1</v>
      </c>
      <c r="J44" t="str">
        <f t="shared" si="19"/>
        <v>0</v>
      </c>
      <c r="K44" t="str">
        <f t="shared" si="19"/>
        <v>1</v>
      </c>
      <c r="L44" t="str">
        <f t="shared" si="19"/>
        <v>0</v>
      </c>
      <c r="M44" t="str">
        <f t="shared" si="19"/>
        <v>0</v>
      </c>
      <c r="N44" t="str">
        <f t="shared" si="19"/>
        <v>0</v>
      </c>
      <c r="O44" t="str">
        <f t="shared" si="19"/>
        <v>0</v>
      </c>
      <c r="P44" t="str">
        <f t="shared" si="19"/>
        <v>0</v>
      </c>
      <c r="Q44" t="str">
        <f t="shared" si="19"/>
        <v>0</v>
      </c>
      <c r="R44" t="str">
        <f t="shared" si="19"/>
        <v>1</v>
      </c>
      <c r="S44" t="str">
        <f t="shared" si="19"/>
        <v>0</v>
      </c>
      <c r="T44" t="str">
        <f t="shared" si="19"/>
        <v>0</v>
      </c>
      <c r="U44" t="str">
        <f t="shared" si="19"/>
        <v>0</v>
      </c>
      <c r="V44" t="str">
        <f t="shared" si="19"/>
        <v>0</v>
      </c>
      <c r="W44" t="str">
        <f t="shared" si="19"/>
        <v>1</v>
      </c>
      <c r="X44" t="str">
        <f t="shared" si="19"/>
        <v>0</v>
      </c>
      <c r="Y44" t="str">
        <f t="shared" si="19"/>
        <v>1</v>
      </c>
      <c r="Z44" t="str">
        <f t="shared" si="19"/>
        <v>1</v>
      </c>
      <c r="AA44" t="str">
        <f t="shared" si="19"/>
        <v>1</v>
      </c>
      <c r="AB44" t="str">
        <f t="shared" si="19"/>
        <v>1</v>
      </c>
      <c r="AC44" t="str">
        <f t="shared" si="19"/>
        <v>1</v>
      </c>
      <c r="AD44" t="str">
        <f t="shared" si="19"/>
        <v>0</v>
      </c>
      <c r="AE44" t="str">
        <f t="shared" si="19"/>
        <v>1</v>
      </c>
      <c r="AF44" t="str">
        <f t="shared" si="19"/>
        <v>0</v>
      </c>
      <c r="AG44" t="str">
        <f t="shared" si="19"/>
        <v>1</v>
      </c>
    </row>
    <row r="45" spans="1:33">
      <c r="A45" t="str">
        <f>CONCATENATE("L",C4-1)</f>
        <v>L12</v>
      </c>
      <c r="B45" s="8" t="str">
        <f>'R12'!C6</f>
        <v>11111111001111000100100001011111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1</v>
      </c>
      <c r="C46" t="str">
        <f t="shared" ref="C46:AG46" si="20">MID($B$45,C42,1)</f>
        <v>1</v>
      </c>
      <c r="D46" t="str">
        <f t="shared" si="20"/>
        <v>1</v>
      </c>
      <c r="E46" t="str">
        <f t="shared" si="20"/>
        <v>1</v>
      </c>
      <c r="F46" t="str">
        <f t="shared" si="20"/>
        <v>1</v>
      </c>
      <c r="G46" t="str">
        <f t="shared" si="20"/>
        <v>1</v>
      </c>
      <c r="H46" t="str">
        <f t="shared" si="20"/>
        <v>1</v>
      </c>
      <c r="I46" t="str">
        <f t="shared" si="20"/>
        <v>1</v>
      </c>
      <c r="J46" t="str">
        <f t="shared" si="20"/>
        <v>0</v>
      </c>
      <c r="K46" t="str">
        <f t="shared" si="20"/>
        <v>0</v>
      </c>
      <c r="L46" t="str">
        <f t="shared" si="20"/>
        <v>1</v>
      </c>
      <c r="M46" t="str">
        <f t="shared" si="20"/>
        <v>1</v>
      </c>
      <c r="N46" t="str">
        <f t="shared" si="20"/>
        <v>1</v>
      </c>
      <c r="O46" t="str">
        <f t="shared" si="20"/>
        <v>1</v>
      </c>
      <c r="P46" t="str">
        <f t="shared" si="20"/>
        <v>0</v>
      </c>
      <c r="Q46" t="str">
        <f t="shared" si="20"/>
        <v>0</v>
      </c>
      <c r="R46" t="str">
        <f t="shared" si="20"/>
        <v>0</v>
      </c>
      <c r="S46" t="str">
        <f t="shared" si="20"/>
        <v>1</v>
      </c>
      <c r="T46" t="str">
        <f t="shared" si="20"/>
        <v>0</v>
      </c>
      <c r="U46" t="str">
        <f t="shared" si="20"/>
        <v>0</v>
      </c>
      <c r="V46" t="str">
        <f t="shared" si="20"/>
        <v>1</v>
      </c>
      <c r="W46" t="str">
        <f t="shared" si="20"/>
        <v>0</v>
      </c>
      <c r="X46" t="str">
        <f t="shared" si="20"/>
        <v>0</v>
      </c>
      <c r="Y46" t="str">
        <f t="shared" si="20"/>
        <v>0</v>
      </c>
      <c r="Z46" t="str">
        <f t="shared" si="20"/>
        <v>0</v>
      </c>
      <c r="AA46" t="str">
        <f t="shared" si="20"/>
        <v>1</v>
      </c>
      <c r="AB46" t="str">
        <f t="shared" si="20"/>
        <v>0</v>
      </c>
      <c r="AC46" t="str">
        <f t="shared" si="20"/>
        <v>1</v>
      </c>
      <c r="AD46" t="str">
        <f t="shared" si="20"/>
        <v>1</v>
      </c>
      <c r="AE46" t="str">
        <f t="shared" si="20"/>
        <v>1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R13</v>
      </c>
      <c r="B47">
        <f>IF(B44=B46,0,1)</f>
        <v>0</v>
      </c>
      <c r="C47">
        <f t="shared" ref="C47:AG47" si="21">IF(C44=C46,0,1)</f>
        <v>0</v>
      </c>
      <c r="D47">
        <f t="shared" si="21"/>
        <v>1</v>
      </c>
      <c r="E47">
        <f t="shared" si="21"/>
        <v>1</v>
      </c>
      <c r="F47">
        <f t="shared" si="21"/>
        <v>1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0</v>
      </c>
      <c r="K47">
        <f t="shared" si="21"/>
        <v>1</v>
      </c>
      <c r="L47">
        <f t="shared" si="21"/>
        <v>1</v>
      </c>
      <c r="M47">
        <f t="shared" si="21"/>
        <v>1</v>
      </c>
      <c r="N47">
        <f t="shared" si="21"/>
        <v>1</v>
      </c>
      <c r="O47">
        <f t="shared" si="21"/>
        <v>1</v>
      </c>
      <c r="P47">
        <f t="shared" si="21"/>
        <v>0</v>
      </c>
      <c r="Q47">
        <f t="shared" si="21"/>
        <v>0</v>
      </c>
      <c r="R47">
        <f t="shared" si="21"/>
        <v>1</v>
      </c>
      <c r="S47">
        <f t="shared" si="21"/>
        <v>1</v>
      </c>
      <c r="T47">
        <f t="shared" si="21"/>
        <v>0</v>
      </c>
      <c r="U47">
        <f t="shared" si="21"/>
        <v>0</v>
      </c>
      <c r="V47">
        <f t="shared" si="21"/>
        <v>1</v>
      </c>
      <c r="W47">
        <f t="shared" si="21"/>
        <v>1</v>
      </c>
      <c r="X47">
        <f t="shared" si="21"/>
        <v>0</v>
      </c>
      <c r="Y47">
        <f t="shared" si="21"/>
        <v>1</v>
      </c>
      <c r="Z47">
        <f t="shared" si="21"/>
        <v>1</v>
      </c>
      <c r="AA47">
        <f t="shared" si="21"/>
        <v>0</v>
      </c>
      <c r="AB47">
        <f t="shared" si="21"/>
        <v>1</v>
      </c>
      <c r="AC47">
        <f t="shared" si="21"/>
        <v>0</v>
      </c>
      <c r="AD47">
        <f t="shared" si="21"/>
        <v>1</v>
      </c>
      <c r="AE47">
        <f t="shared" si="21"/>
        <v>0</v>
      </c>
      <c r="AF47">
        <f t="shared" si="21"/>
        <v>1</v>
      </c>
      <c r="AG47">
        <f t="shared" si="21"/>
        <v>0</v>
      </c>
    </row>
    <row r="48" spans="1:33">
      <c r="B48" t="str">
        <f>CONCATENATE(B47,C47,D47,E47)</f>
        <v>0011</v>
      </c>
      <c r="F48" t="str">
        <f>CONCATENATE(F47,G47,H47,I47)</f>
        <v>1000</v>
      </c>
      <c r="J48" t="str">
        <f>CONCATENATE(J47,K47,L47,M47)</f>
        <v>0111</v>
      </c>
      <c r="N48" t="str">
        <f>CONCATENATE(N47,O47,P47,Q47)</f>
        <v>1100</v>
      </c>
      <c r="R48" t="str">
        <f>CONCATENATE(R47,S47,T47,U47)</f>
        <v>1100</v>
      </c>
      <c r="V48" t="str">
        <f>CONCATENATE(V47,W47,X47,Y47)</f>
        <v>1101</v>
      </c>
      <c r="Z48" t="str">
        <f>CONCATENATE(Z47,AA47,AB47,AC47)</f>
        <v>1010</v>
      </c>
      <c r="AD48" t="str">
        <f>CONCATENATE(AD47,AE47,AF47,AG47)</f>
        <v>1010</v>
      </c>
    </row>
    <row r="49" spans="1:2">
      <c r="A49" t="str">
        <f>A47</f>
        <v>R13</v>
      </c>
      <c r="B49" t="str">
        <f>CONCATENATE(B48,F48,J48,N48,R48,V48,Z48,AD48)</f>
        <v>00111000011111001100110110101010</v>
      </c>
    </row>
    <row r="50" spans="1:2">
      <c r="A50" t="str">
        <f>CONCATENATE(A49," hex")</f>
        <v>R13 hex</v>
      </c>
      <c r="B50" t="str">
        <f>CONCATENATE(BIN2HEX(B48),BIN2HEX(F48),BIN2HEX(J48),BIN2HEX(N48),BIN2HEX(R48),BIN2HEX(V48),BIN2HEX(Z48),BIN2HEX(AD48))</f>
        <v>387CCDAA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50"/>
  <sheetViews>
    <sheetView topLeftCell="A28" workbookViewId="0">
      <selection activeCell="P62" sqref="P62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14</v>
      </c>
    </row>
    <row r="5" spans="1:13">
      <c r="A5" t="str">
        <f>CONCATENATE("K",C4)</f>
        <v>K14</v>
      </c>
      <c r="C5" s="8" t="str">
        <f>Kn!O15</f>
        <v>001001010001101110001011110001110001011111010000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L14   =</v>
      </c>
      <c r="B6" t="str">
        <f>CONCATENATE("R",(C4-1))</f>
        <v>R13</v>
      </c>
      <c r="C6" s="8" t="str">
        <f>'R13'!B49</f>
        <v>00111000011111001100110110101010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E(R13)</v>
      </c>
      <c r="B8">
        <v>1</v>
      </c>
      <c r="C8" s="1" t="str">
        <f t="shared" ref="C8:H15" si="0">MID($C$6,VLOOKUP($B8,E_BIT,C$7+1,FALSE),1)</f>
        <v>0</v>
      </c>
      <c r="D8" s="1" t="str">
        <f t="shared" si="0"/>
        <v>0</v>
      </c>
      <c r="E8" s="1" t="str">
        <f t="shared" si="0"/>
        <v>0</v>
      </c>
      <c r="F8" s="1" t="str">
        <f t="shared" si="0"/>
        <v>1</v>
      </c>
      <c r="G8" s="1" t="str">
        <f t="shared" si="0"/>
        <v>1</v>
      </c>
      <c r="H8" s="1" t="str">
        <f t="shared" si="0"/>
        <v>1</v>
      </c>
      <c r="I8" s="6" t="str">
        <f>CONCATENATE(C8,D8,E8,F8,G8,H8)</f>
        <v>000111</v>
      </c>
    </row>
    <row r="9" spans="1:13">
      <c r="B9">
        <v>2</v>
      </c>
      <c r="C9" s="1" t="str">
        <f t="shared" si="0"/>
        <v>1</v>
      </c>
      <c r="D9" s="1" t="str">
        <f t="shared" si="0"/>
        <v>1</v>
      </c>
      <c r="E9" s="1" t="str">
        <f t="shared" si="0"/>
        <v>0</v>
      </c>
      <c r="F9" s="1" t="str">
        <f t="shared" si="0"/>
        <v>0</v>
      </c>
      <c r="G9" s="1" t="str">
        <f t="shared" si="0"/>
        <v>0</v>
      </c>
      <c r="H9" s="1" t="str">
        <f t="shared" si="0"/>
        <v>0</v>
      </c>
      <c r="I9" s="6" t="str">
        <f t="shared" ref="I9:I15" si="1">CONCATENATE(C9,D9,E9,F9,G9,H9)</f>
        <v>110000</v>
      </c>
    </row>
    <row r="10" spans="1:13">
      <c r="B10">
        <v>3</v>
      </c>
      <c r="C10" s="1" t="str">
        <f t="shared" si="0"/>
        <v>0</v>
      </c>
      <c r="D10" s="1" t="str">
        <f t="shared" si="0"/>
        <v>0</v>
      </c>
      <c r="E10" s="1" t="str">
        <f t="shared" si="0"/>
        <v>1</v>
      </c>
      <c r="F10" s="1" t="str">
        <f t="shared" si="0"/>
        <v>1</v>
      </c>
      <c r="G10" s="1" t="str">
        <f t="shared" si="0"/>
        <v>1</v>
      </c>
      <c r="H10" s="1" t="str">
        <f t="shared" si="0"/>
        <v>1</v>
      </c>
      <c r="I10" s="6" t="str">
        <f t="shared" si="1"/>
        <v>001111</v>
      </c>
    </row>
    <row r="11" spans="1:13">
      <c r="B11">
        <v>4</v>
      </c>
      <c r="C11" s="1" t="str">
        <f t="shared" si="0"/>
        <v>1</v>
      </c>
      <c r="D11" s="1" t="str">
        <f t="shared" si="0"/>
        <v>1</v>
      </c>
      <c r="E11" s="1" t="str">
        <f t="shared" si="0"/>
        <v>1</v>
      </c>
      <c r="F11" s="1" t="str">
        <f t="shared" si="0"/>
        <v>0</v>
      </c>
      <c r="G11" s="1" t="str">
        <f t="shared" si="0"/>
        <v>0</v>
      </c>
      <c r="H11" s="1" t="str">
        <f t="shared" si="0"/>
        <v>1</v>
      </c>
      <c r="I11" s="6" t="str">
        <f t="shared" si="1"/>
        <v>111001</v>
      </c>
    </row>
    <row r="12" spans="1:13">
      <c r="B12">
        <v>5</v>
      </c>
      <c r="C12" s="1" t="str">
        <f t="shared" si="0"/>
        <v>0</v>
      </c>
      <c r="D12" s="1" t="str">
        <f t="shared" si="0"/>
        <v>1</v>
      </c>
      <c r="E12" s="1" t="str">
        <f t="shared" si="0"/>
        <v>1</v>
      </c>
      <c r="F12" s="1" t="str">
        <f t="shared" si="0"/>
        <v>0</v>
      </c>
      <c r="G12" s="1" t="str">
        <f t="shared" si="0"/>
        <v>0</v>
      </c>
      <c r="H12" s="1" t="str">
        <f t="shared" si="0"/>
        <v>1</v>
      </c>
      <c r="I12" s="6" t="str">
        <f t="shared" si="1"/>
        <v>011001</v>
      </c>
    </row>
    <row r="13" spans="1:13">
      <c r="B13">
        <v>6</v>
      </c>
      <c r="C13" s="1" t="str">
        <f t="shared" si="0"/>
        <v>0</v>
      </c>
      <c r="D13" s="1" t="str">
        <f t="shared" si="0"/>
        <v>1</v>
      </c>
      <c r="E13" s="1" t="str">
        <f t="shared" si="0"/>
        <v>1</v>
      </c>
      <c r="F13" s="1" t="str">
        <f t="shared" si="0"/>
        <v>0</v>
      </c>
      <c r="G13" s="1" t="str">
        <f t="shared" si="0"/>
        <v>1</v>
      </c>
      <c r="H13" s="1" t="str">
        <f t="shared" si="0"/>
        <v>1</v>
      </c>
      <c r="I13" s="6" t="str">
        <f t="shared" si="1"/>
        <v>011011</v>
      </c>
    </row>
    <row r="14" spans="1:13">
      <c r="B14">
        <v>7</v>
      </c>
      <c r="C14" s="1" t="str">
        <f t="shared" si="0"/>
        <v>1</v>
      </c>
      <c r="D14" s="1" t="str">
        <f t="shared" si="0"/>
        <v>1</v>
      </c>
      <c r="E14" s="1" t="str">
        <f t="shared" si="0"/>
        <v>0</v>
      </c>
      <c r="F14" s="1" t="str">
        <f t="shared" si="0"/>
        <v>1</v>
      </c>
      <c r="G14" s="1" t="str">
        <f t="shared" si="0"/>
        <v>0</v>
      </c>
      <c r="H14" s="1" t="str">
        <f t="shared" si="0"/>
        <v>1</v>
      </c>
      <c r="I14" s="6" t="str">
        <f t="shared" si="1"/>
        <v>110101</v>
      </c>
    </row>
    <row r="15" spans="1:13">
      <c r="B15">
        <v>8</v>
      </c>
      <c r="C15" s="1" t="str">
        <f t="shared" si="0"/>
        <v>0</v>
      </c>
      <c r="D15" s="1" t="str">
        <f t="shared" si="0"/>
        <v>1</v>
      </c>
      <c r="E15" s="1" t="str">
        <f t="shared" si="0"/>
        <v>0</v>
      </c>
      <c r="F15" s="1" t="str">
        <f t="shared" si="0"/>
        <v>1</v>
      </c>
      <c r="G15" s="1" t="str">
        <f t="shared" si="0"/>
        <v>0</v>
      </c>
      <c r="H15" s="1" t="str">
        <f t="shared" si="0"/>
        <v>0</v>
      </c>
      <c r="I15" s="6" t="str">
        <f t="shared" si="1"/>
        <v>010100</v>
      </c>
    </row>
    <row r="16" spans="1:13">
      <c r="A16" t="str">
        <f>A8</f>
        <v>E(R13)</v>
      </c>
      <c r="B16" t="str">
        <f>CONCATENATE(I8,I9,I10,I11,I12,I13,I14,I15)</f>
        <v>000111110000001111111001011001011011110101010100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K14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1</v>
      </c>
      <c r="E19" t="str">
        <f t="shared" si="2"/>
        <v>0</v>
      </c>
      <c r="F19" t="str">
        <f t="shared" si="2"/>
        <v>0</v>
      </c>
      <c r="G19" t="str">
        <f t="shared" si="2"/>
        <v>1</v>
      </c>
      <c r="H19" t="str">
        <f t="shared" si="2"/>
        <v>0</v>
      </c>
      <c r="I19" t="str">
        <f t="shared" si="2"/>
        <v>1</v>
      </c>
      <c r="J19" t="str">
        <f t="shared" si="2"/>
        <v>0</v>
      </c>
      <c r="K19" t="str">
        <f t="shared" si="2"/>
        <v>0</v>
      </c>
      <c r="L19" t="str">
        <f t="shared" si="2"/>
        <v>0</v>
      </c>
      <c r="M19" t="str">
        <f t="shared" si="2"/>
        <v>1</v>
      </c>
      <c r="N19" t="str">
        <f t="shared" si="2"/>
        <v>1</v>
      </c>
      <c r="O19" t="str">
        <f t="shared" si="2"/>
        <v>0</v>
      </c>
      <c r="P19" t="str">
        <f t="shared" si="2"/>
        <v>1</v>
      </c>
      <c r="Q19" t="str">
        <f t="shared" si="2"/>
        <v>1</v>
      </c>
      <c r="R19" t="str">
        <f t="shared" si="2"/>
        <v>1</v>
      </c>
      <c r="S19" t="str">
        <f t="shared" si="2"/>
        <v>0</v>
      </c>
      <c r="T19" t="str">
        <f t="shared" si="2"/>
        <v>0</v>
      </c>
      <c r="U19" t="str">
        <f t="shared" si="2"/>
        <v>0</v>
      </c>
      <c r="V19" t="str">
        <f t="shared" si="2"/>
        <v>1</v>
      </c>
      <c r="W19" t="str">
        <f t="shared" si="2"/>
        <v>0</v>
      </c>
      <c r="X19" t="str">
        <f t="shared" si="2"/>
        <v>1</v>
      </c>
      <c r="Y19" t="str">
        <f t="shared" si="2"/>
        <v>1</v>
      </c>
      <c r="Z19" t="str">
        <f t="shared" si="2"/>
        <v>1</v>
      </c>
      <c r="AA19" t="str">
        <f t="shared" si="2"/>
        <v>1</v>
      </c>
      <c r="AB19" t="str">
        <f t="shared" si="2"/>
        <v>0</v>
      </c>
      <c r="AC19" t="str">
        <f t="shared" si="2"/>
        <v>0</v>
      </c>
      <c r="AD19" t="str">
        <f t="shared" si="2"/>
        <v>0</v>
      </c>
      <c r="AE19" t="str">
        <f t="shared" si="2"/>
        <v>1</v>
      </c>
      <c r="AF19" t="str">
        <f t="shared" si="2"/>
        <v>1</v>
      </c>
      <c r="AG19" t="str">
        <f t="shared" si="2"/>
        <v>1</v>
      </c>
      <c r="AH19" t="str">
        <f t="shared" si="2"/>
        <v>0</v>
      </c>
      <c r="AI19" t="str">
        <f t="shared" si="2"/>
        <v>0</v>
      </c>
      <c r="AJ19" t="str">
        <f t="shared" si="2"/>
        <v>0</v>
      </c>
      <c r="AK19" t="str">
        <f t="shared" si="2"/>
        <v>1</v>
      </c>
      <c r="AL19" t="str">
        <f t="shared" si="2"/>
        <v>0</v>
      </c>
      <c r="AM19" t="str">
        <f t="shared" si="2"/>
        <v>1</v>
      </c>
      <c r="AN19" t="str">
        <f t="shared" si="2"/>
        <v>1</v>
      </c>
      <c r="AO19" t="str">
        <f t="shared" si="2"/>
        <v>1</v>
      </c>
      <c r="AP19" t="str">
        <f t="shared" si="2"/>
        <v>1</v>
      </c>
      <c r="AQ19" t="str">
        <f t="shared" si="2"/>
        <v>1</v>
      </c>
      <c r="AR19" t="str">
        <f t="shared" si="2"/>
        <v>0</v>
      </c>
      <c r="AS19" t="str">
        <f t="shared" si="2"/>
        <v>1</v>
      </c>
      <c r="AT19" t="str">
        <f t="shared" si="2"/>
        <v>0</v>
      </c>
      <c r="AU19" t="str">
        <f t="shared" si="2"/>
        <v>0</v>
      </c>
      <c r="AV19" t="str">
        <f t="shared" si="2"/>
        <v>0</v>
      </c>
      <c r="AW19" t="str">
        <f t="shared" si="2"/>
        <v>0</v>
      </c>
    </row>
    <row r="20" spans="1:49">
      <c r="A20" t="str">
        <f>A16</f>
        <v>E(R13)</v>
      </c>
      <c r="B20" t="str">
        <f>MID($B$16,B18,1)</f>
        <v>0</v>
      </c>
      <c r="C20" t="str">
        <f t="shared" ref="C20:AW20" si="3">MID($B$16,C18,1)</f>
        <v>0</v>
      </c>
      <c r="D20" t="str">
        <f t="shared" si="3"/>
        <v>0</v>
      </c>
      <c r="E20" t="str">
        <f t="shared" si="3"/>
        <v>1</v>
      </c>
      <c r="F20" t="str">
        <f t="shared" si="3"/>
        <v>1</v>
      </c>
      <c r="G20" t="str">
        <f t="shared" si="3"/>
        <v>1</v>
      </c>
      <c r="H20" t="str">
        <f t="shared" si="3"/>
        <v>1</v>
      </c>
      <c r="I20" t="str">
        <f t="shared" si="3"/>
        <v>1</v>
      </c>
      <c r="J20" t="str">
        <f t="shared" si="3"/>
        <v>0</v>
      </c>
      <c r="K20" t="str">
        <f t="shared" si="3"/>
        <v>0</v>
      </c>
      <c r="L20" t="str">
        <f t="shared" si="3"/>
        <v>0</v>
      </c>
      <c r="M20" t="str">
        <f t="shared" si="3"/>
        <v>0</v>
      </c>
      <c r="N20" t="str">
        <f t="shared" si="3"/>
        <v>0</v>
      </c>
      <c r="O20" t="str">
        <f t="shared" si="3"/>
        <v>0</v>
      </c>
      <c r="P20" t="str">
        <f t="shared" si="3"/>
        <v>1</v>
      </c>
      <c r="Q20" t="str">
        <f t="shared" si="3"/>
        <v>1</v>
      </c>
      <c r="R20" t="str">
        <f t="shared" si="3"/>
        <v>1</v>
      </c>
      <c r="S20" t="str">
        <f t="shared" si="3"/>
        <v>1</v>
      </c>
      <c r="T20" t="str">
        <f t="shared" si="3"/>
        <v>1</v>
      </c>
      <c r="U20" t="str">
        <f t="shared" si="3"/>
        <v>1</v>
      </c>
      <c r="V20" t="str">
        <f t="shared" si="3"/>
        <v>1</v>
      </c>
      <c r="W20" t="str">
        <f t="shared" si="3"/>
        <v>0</v>
      </c>
      <c r="X20" t="str">
        <f t="shared" si="3"/>
        <v>0</v>
      </c>
      <c r="Y20" t="str">
        <f t="shared" si="3"/>
        <v>1</v>
      </c>
      <c r="Z20" t="str">
        <f t="shared" si="3"/>
        <v>0</v>
      </c>
      <c r="AA20" t="str">
        <f t="shared" si="3"/>
        <v>1</v>
      </c>
      <c r="AB20" t="str">
        <f t="shared" si="3"/>
        <v>1</v>
      </c>
      <c r="AC20" t="str">
        <f t="shared" si="3"/>
        <v>0</v>
      </c>
      <c r="AD20" t="str">
        <f t="shared" si="3"/>
        <v>0</v>
      </c>
      <c r="AE20" t="str">
        <f t="shared" si="3"/>
        <v>1</v>
      </c>
      <c r="AF20" t="str">
        <f t="shared" si="3"/>
        <v>0</v>
      </c>
      <c r="AG20" t="str">
        <f t="shared" si="3"/>
        <v>1</v>
      </c>
      <c r="AH20" t="str">
        <f t="shared" si="3"/>
        <v>1</v>
      </c>
      <c r="AI20" t="str">
        <f t="shared" si="3"/>
        <v>0</v>
      </c>
      <c r="AJ20" t="str">
        <f t="shared" si="3"/>
        <v>1</v>
      </c>
      <c r="AK20" t="str">
        <f t="shared" si="3"/>
        <v>1</v>
      </c>
      <c r="AL20" t="str">
        <f t="shared" si="3"/>
        <v>1</v>
      </c>
      <c r="AM20" t="str">
        <f t="shared" si="3"/>
        <v>1</v>
      </c>
      <c r="AN20" t="str">
        <f t="shared" si="3"/>
        <v>0</v>
      </c>
      <c r="AO20" t="str">
        <f t="shared" si="3"/>
        <v>1</v>
      </c>
      <c r="AP20" t="str">
        <f t="shared" si="3"/>
        <v>0</v>
      </c>
      <c r="AQ20" t="str">
        <f t="shared" si="3"/>
        <v>1</v>
      </c>
      <c r="AR20" t="str">
        <f t="shared" si="3"/>
        <v>0</v>
      </c>
      <c r="AS20" t="str">
        <f t="shared" si="3"/>
        <v>1</v>
      </c>
      <c r="AT20" t="str">
        <f t="shared" si="3"/>
        <v>0</v>
      </c>
      <c r="AU20" t="str">
        <f t="shared" si="3"/>
        <v>1</v>
      </c>
      <c r="AV20" t="str">
        <f t="shared" si="3"/>
        <v>0</v>
      </c>
      <c r="AW20" t="str">
        <f t="shared" si="3"/>
        <v>0</v>
      </c>
    </row>
    <row r="21" spans="1:49">
      <c r="A21" s="6" t="str">
        <f>CONCATENATE(A19," + ",A20)</f>
        <v>K14 + E(R13)</v>
      </c>
      <c r="B21" s="1">
        <f>IF(B19=B20,0,1)</f>
        <v>0</v>
      </c>
      <c r="C21" s="1">
        <f t="shared" ref="C21:AW21" si="4">IF(C19=C20,0,1)</f>
        <v>0</v>
      </c>
      <c r="D21" s="1">
        <f t="shared" si="4"/>
        <v>1</v>
      </c>
      <c r="E21" s="1">
        <f t="shared" si="4"/>
        <v>1</v>
      </c>
      <c r="F21" s="1">
        <f t="shared" si="4"/>
        <v>1</v>
      </c>
      <c r="G21" s="1">
        <f t="shared" si="4"/>
        <v>0</v>
      </c>
      <c r="H21" s="1">
        <f t="shared" si="4"/>
        <v>1</v>
      </c>
      <c r="I21" s="1">
        <f t="shared" si="4"/>
        <v>0</v>
      </c>
      <c r="J21" s="1">
        <f t="shared" si="4"/>
        <v>0</v>
      </c>
      <c r="K21" s="1">
        <f t="shared" si="4"/>
        <v>0</v>
      </c>
      <c r="L21" s="1">
        <f t="shared" si="4"/>
        <v>0</v>
      </c>
      <c r="M21" s="1">
        <f t="shared" si="4"/>
        <v>1</v>
      </c>
      <c r="N21" s="1">
        <f t="shared" si="4"/>
        <v>1</v>
      </c>
      <c r="O21" s="1">
        <f t="shared" si="4"/>
        <v>0</v>
      </c>
      <c r="P21" s="1">
        <f t="shared" si="4"/>
        <v>0</v>
      </c>
      <c r="Q21" s="1">
        <f t="shared" si="4"/>
        <v>0</v>
      </c>
      <c r="R21" s="1">
        <f t="shared" si="4"/>
        <v>0</v>
      </c>
      <c r="S21" s="1">
        <f t="shared" si="4"/>
        <v>1</v>
      </c>
      <c r="T21" s="1">
        <f t="shared" si="4"/>
        <v>1</v>
      </c>
      <c r="U21" s="1">
        <f t="shared" si="4"/>
        <v>1</v>
      </c>
      <c r="V21" s="1">
        <f t="shared" si="4"/>
        <v>0</v>
      </c>
      <c r="W21" s="1">
        <f t="shared" si="4"/>
        <v>0</v>
      </c>
      <c r="X21" s="1">
        <f t="shared" si="4"/>
        <v>1</v>
      </c>
      <c r="Y21" s="1">
        <f t="shared" si="4"/>
        <v>0</v>
      </c>
      <c r="Z21" s="1">
        <f t="shared" si="4"/>
        <v>1</v>
      </c>
      <c r="AA21" s="1">
        <f t="shared" si="4"/>
        <v>0</v>
      </c>
      <c r="AB21" s="1">
        <f t="shared" si="4"/>
        <v>1</v>
      </c>
      <c r="AC21" s="1">
        <f t="shared" si="4"/>
        <v>0</v>
      </c>
      <c r="AD21" s="1">
        <f t="shared" si="4"/>
        <v>0</v>
      </c>
      <c r="AE21" s="1">
        <f t="shared" si="4"/>
        <v>0</v>
      </c>
      <c r="AF21" s="1">
        <f t="shared" si="4"/>
        <v>1</v>
      </c>
      <c r="AG21" s="1">
        <f t="shared" si="4"/>
        <v>0</v>
      </c>
      <c r="AH21" s="1">
        <f t="shared" si="4"/>
        <v>1</v>
      </c>
      <c r="AI21" s="1">
        <f t="shared" si="4"/>
        <v>0</v>
      </c>
      <c r="AJ21" s="1">
        <f t="shared" si="4"/>
        <v>1</v>
      </c>
      <c r="AK21" s="1">
        <f t="shared" si="4"/>
        <v>0</v>
      </c>
      <c r="AL21" s="1">
        <f t="shared" si="4"/>
        <v>1</v>
      </c>
      <c r="AM21" s="1">
        <f t="shared" si="4"/>
        <v>0</v>
      </c>
      <c r="AN21" s="1">
        <f t="shared" si="4"/>
        <v>1</v>
      </c>
      <c r="AO21" s="1">
        <f t="shared" si="4"/>
        <v>0</v>
      </c>
      <c r="AP21" s="1">
        <f t="shared" si="4"/>
        <v>1</v>
      </c>
      <c r="AQ21" s="1">
        <f t="shared" si="4"/>
        <v>0</v>
      </c>
      <c r="AR21" s="1">
        <f t="shared" si="4"/>
        <v>0</v>
      </c>
      <c r="AS21" s="1">
        <f t="shared" si="4"/>
        <v>0</v>
      </c>
      <c r="AT21" s="1">
        <f t="shared" si="4"/>
        <v>0</v>
      </c>
      <c r="AU21" s="1">
        <f t="shared" si="4"/>
        <v>1</v>
      </c>
      <c r="AV21" s="1">
        <f t="shared" si="4"/>
        <v>0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0</v>
      </c>
      <c r="D23">
        <f t="shared" si="5"/>
        <v>1</v>
      </c>
      <c r="E23">
        <f t="shared" si="5"/>
        <v>1</v>
      </c>
      <c r="F23">
        <f t="shared" si="5"/>
        <v>1</v>
      </c>
      <c r="G23">
        <f t="shared" si="5"/>
        <v>0</v>
      </c>
      <c r="H23" t="str">
        <f>CONCATENATE(B23,G23)</f>
        <v>00</v>
      </c>
      <c r="I23" t="str">
        <f>CONCATENATE(C23,D23,E23,F23)</f>
        <v>0111</v>
      </c>
      <c r="J23">
        <f>BIN2DEC(H23)</f>
        <v>0</v>
      </c>
      <c r="K23">
        <f>BIN2DEC(I23)</f>
        <v>7</v>
      </c>
      <c r="L23">
        <f>VLOOKUP(J23,S1_BOX,K23+2,FALSE)</f>
        <v>8</v>
      </c>
      <c r="M23" t="str">
        <f>DEC2BIN(L23,4)</f>
        <v>1000</v>
      </c>
    </row>
    <row r="24" spans="1:49">
      <c r="A24" t="s">
        <v>155</v>
      </c>
      <c r="B24">
        <f>H21</f>
        <v>1</v>
      </c>
      <c r="C24">
        <f t="shared" ref="C24:G24" si="6">I21</f>
        <v>0</v>
      </c>
      <c r="D24">
        <f t="shared" si="6"/>
        <v>0</v>
      </c>
      <c r="E24">
        <f t="shared" si="6"/>
        <v>0</v>
      </c>
      <c r="F24">
        <f t="shared" si="6"/>
        <v>0</v>
      </c>
      <c r="G24">
        <f t="shared" si="6"/>
        <v>1</v>
      </c>
      <c r="H24" t="str">
        <f t="shared" ref="H24:H30" si="7">CONCATENATE(B24,G24)</f>
        <v>11</v>
      </c>
      <c r="I24" t="str">
        <f t="shared" ref="I24:I30" si="8">CONCATENATE(C24,D24,E24,F24)</f>
        <v>0000</v>
      </c>
      <c r="J24">
        <f t="shared" ref="J24:K30" si="9">BIN2DEC(H24)</f>
        <v>3</v>
      </c>
      <c r="K24">
        <f t="shared" si="9"/>
        <v>0</v>
      </c>
      <c r="L24">
        <f>VLOOKUP(J24,S2_BOX,K24+2,FALSE)</f>
        <v>13</v>
      </c>
      <c r="M24" t="str">
        <f t="shared" ref="M24:M30" si="10">DEC2BIN(L24,4)</f>
        <v>1101</v>
      </c>
    </row>
    <row r="25" spans="1:49">
      <c r="A25" t="s">
        <v>156</v>
      </c>
      <c r="B25">
        <f>N21</f>
        <v>1</v>
      </c>
      <c r="C25">
        <f t="shared" ref="C25:G25" si="11">O21</f>
        <v>0</v>
      </c>
      <c r="D25">
        <f t="shared" si="11"/>
        <v>0</v>
      </c>
      <c r="E25">
        <f t="shared" si="11"/>
        <v>0</v>
      </c>
      <c r="F25">
        <f t="shared" si="11"/>
        <v>0</v>
      </c>
      <c r="G25">
        <f t="shared" si="11"/>
        <v>1</v>
      </c>
      <c r="H25" t="str">
        <f t="shared" si="7"/>
        <v>11</v>
      </c>
      <c r="I25" t="str">
        <f t="shared" si="8"/>
        <v>0000</v>
      </c>
      <c r="J25">
        <f t="shared" si="9"/>
        <v>3</v>
      </c>
      <c r="K25">
        <f t="shared" si="9"/>
        <v>0</v>
      </c>
      <c r="L25">
        <f>VLOOKUP(J25,S3_BOX,K25+2,FALSE)</f>
        <v>1</v>
      </c>
      <c r="M25" t="str">
        <f t="shared" si="10"/>
        <v>0001</v>
      </c>
    </row>
    <row r="26" spans="1:49">
      <c r="A26" t="s">
        <v>157</v>
      </c>
      <c r="B26">
        <f>T21</f>
        <v>1</v>
      </c>
      <c r="C26">
        <f t="shared" ref="C26:G26" si="12">U21</f>
        <v>1</v>
      </c>
      <c r="D26">
        <f t="shared" si="12"/>
        <v>0</v>
      </c>
      <c r="E26">
        <f t="shared" si="12"/>
        <v>0</v>
      </c>
      <c r="F26">
        <f t="shared" si="12"/>
        <v>1</v>
      </c>
      <c r="G26">
        <f t="shared" si="12"/>
        <v>0</v>
      </c>
      <c r="H26" t="str">
        <f t="shared" si="7"/>
        <v>10</v>
      </c>
      <c r="I26" t="str">
        <f t="shared" si="8"/>
        <v>1001</v>
      </c>
      <c r="J26">
        <f t="shared" si="9"/>
        <v>2</v>
      </c>
      <c r="K26">
        <f t="shared" si="9"/>
        <v>9</v>
      </c>
      <c r="L26">
        <f>VLOOKUP(J26,S4_BOX,K26+2,FALSE)</f>
        <v>1</v>
      </c>
      <c r="M26" t="str">
        <f t="shared" si="10"/>
        <v>0001</v>
      </c>
    </row>
    <row r="27" spans="1:49">
      <c r="A27" t="s">
        <v>158</v>
      </c>
      <c r="B27">
        <f>Z21</f>
        <v>1</v>
      </c>
      <c r="C27">
        <f t="shared" ref="C27:G27" si="13">AA21</f>
        <v>0</v>
      </c>
      <c r="D27">
        <f t="shared" si="13"/>
        <v>1</v>
      </c>
      <c r="E27">
        <f t="shared" si="13"/>
        <v>0</v>
      </c>
      <c r="F27">
        <f t="shared" si="13"/>
        <v>0</v>
      </c>
      <c r="G27">
        <f t="shared" si="13"/>
        <v>0</v>
      </c>
      <c r="H27" t="str">
        <f t="shared" si="7"/>
        <v>10</v>
      </c>
      <c r="I27" t="str">
        <f t="shared" si="8"/>
        <v>0100</v>
      </c>
      <c r="J27">
        <f t="shared" si="9"/>
        <v>2</v>
      </c>
      <c r="K27">
        <f t="shared" si="9"/>
        <v>4</v>
      </c>
      <c r="L27">
        <f>VLOOKUP(J27,S5_BOX,K27+2,FALSE)</f>
        <v>10</v>
      </c>
      <c r="M27" t="str">
        <f t="shared" si="10"/>
        <v>1010</v>
      </c>
    </row>
    <row r="28" spans="1:49">
      <c r="A28" t="s">
        <v>159</v>
      </c>
      <c r="B28">
        <f>AF21</f>
        <v>1</v>
      </c>
      <c r="C28">
        <f t="shared" ref="C28:G28" si="14">AG21</f>
        <v>0</v>
      </c>
      <c r="D28">
        <f t="shared" si="14"/>
        <v>1</v>
      </c>
      <c r="E28">
        <f t="shared" si="14"/>
        <v>0</v>
      </c>
      <c r="F28">
        <f t="shared" si="14"/>
        <v>1</v>
      </c>
      <c r="G28">
        <f t="shared" si="14"/>
        <v>0</v>
      </c>
      <c r="H28" t="str">
        <f t="shared" si="7"/>
        <v>10</v>
      </c>
      <c r="I28" t="str">
        <f t="shared" si="8"/>
        <v>0101</v>
      </c>
      <c r="J28">
        <f t="shared" si="9"/>
        <v>2</v>
      </c>
      <c r="K28">
        <f t="shared" si="9"/>
        <v>5</v>
      </c>
      <c r="L28">
        <f>VLOOKUP(J28,S6_BOX,K28+2,FALSE)</f>
        <v>8</v>
      </c>
      <c r="M28" t="str">
        <f t="shared" si="10"/>
        <v>1000</v>
      </c>
    </row>
    <row r="29" spans="1:49">
      <c r="A29" t="s">
        <v>160</v>
      </c>
      <c r="B29">
        <f>AL21</f>
        <v>1</v>
      </c>
      <c r="C29">
        <f t="shared" ref="C29:G29" si="15">AM21</f>
        <v>0</v>
      </c>
      <c r="D29">
        <f t="shared" si="15"/>
        <v>1</v>
      </c>
      <c r="E29">
        <f t="shared" si="15"/>
        <v>0</v>
      </c>
      <c r="F29">
        <f t="shared" si="15"/>
        <v>1</v>
      </c>
      <c r="G29">
        <f t="shared" si="15"/>
        <v>0</v>
      </c>
      <c r="H29" t="str">
        <f t="shared" si="7"/>
        <v>10</v>
      </c>
      <c r="I29" t="str">
        <f t="shared" si="8"/>
        <v>0101</v>
      </c>
      <c r="J29">
        <f t="shared" si="9"/>
        <v>2</v>
      </c>
      <c r="K29">
        <f t="shared" si="9"/>
        <v>5</v>
      </c>
      <c r="L29">
        <f>VLOOKUP(J29,S7_BOX,K29+2,FALSE)</f>
        <v>3</v>
      </c>
      <c r="M29" t="str">
        <f t="shared" si="10"/>
        <v>0011</v>
      </c>
    </row>
    <row r="30" spans="1:49">
      <c r="A30" t="s">
        <v>161</v>
      </c>
      <c r="B30">
        <f>AR21</f>
        <v>0</v>
      </c>
      <c r="C30">
        <f t="shared" ref="C30:G30" si="16">AS21</f>
        <v>0</v>
      </c>
      <c r="D30">
        <f t="shared" si="16"/>
        <v>0</v>
      </c>
      <c r="E30">
        <f t="shared" si="16"/>
        <v>1</v>
      </c>
      <c r="F30">
        <f t="shared" si="16"/>
        <v>0</v>
      </c>
      <c r="G30">
        <f t="shared" si="16"/>
        <v>0</v>
      </c>
      <c r="H30" t="str">
        <f t="shared" si="7"/>
        <v>00</v>
      </c>
      <c r="I30" t="str">
        <f t="shared" si="8"/>
        <v>0010</v>
      </c>
      <c r="J30">
        <f t="shared" si="9"/>
        <v>0</v>
      </c>
      <c r="K30">
        <f t="shared" si="9"/>
        <v>2</v>
      </c>
      <c r="L30">
        <f>VLOOKUP(J30,S8_BOX,K30+2,FALSE)</f>
        <v>8</v>
      </c>
      <c r="M30" t="str">
        <f t="shared" si="10"/>
        <v>1000</v>
      </c>
    </row>
    <row r="31" spans="1:49">
      <c r="A31" t="s">
        <v>162</v>
      </c>
      <c r="B31" t="str">
        <f>CONCATENATE(M23,M24,M25,M26,M27,M28,M29,M30)</f>
        <v>10001101000100011010100000111000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0</v>
      </c>
      <c r="E34" t="str">
        <f t="shared" si="17"/>
        <v>0</v>
      </c>
      <c r="F34" t="str">
        <f t="shared" si="17"/>
        <v>1</v>
      </c>
      <c r="G34" t="str">
        <f>CONCATENATE(C34,D34,E34,F34)</f>
        <v>1001</v>
      </c>
    </row>
    <row r="35" spans="1:33">
      <c r="B35">
        <v>2</v>
      </c>
      <c r="C35" t="str">
        <f t="shared" si="17"/>
        <v>1</v>
      </c>
      <c r="D35" t="str">
        <f t="shared" si="17"/>
        <v>1</v>
      </c>
      <c r="E35" t="str">
        <f t="shared" si="17"/>
        <v>1</v>
      </c>
      <c r="F35" t="str">
        <f t="shared" si="17"/>
        <v>1</v>
      </c>
      <c r="G35" t="str">
        <f t="shared" ref="G35:G41" si="18">CONCATENATE(C35,D35,E35,F35)</f>
        <v>1111</v>
      </c>
    </row>
    <row r="36" spans="1:33">
      <c r="B36">
        <v>3</v>
      </c>
      <c r="C36" t="str">
        <f t="shared" si="17"/>
        <v>1</v>
      </c>
      <c r="D36" t="str">
        <f t="shared" si="17"/>
        <v>0</v>
      </c>
      <c r="E36" t="str">
        <f t="shared" si="17"/>
        <v>0</v>
      </c>
      <c r="F36" t="str">
        <f t="shared" si="17"/>
        <v>0</v>
      </c>
      <c r="G36" t="str">
        <f t="shared" si="18"/>
        <v>1000</v>
      </c>
    </row>
    <row r="37" spans="1:33">
      <c r="B37">
        <v>4</v>
      </c>
      <c r="C37" t="str">
        <f t="shared" si="17"/>
        <v>1</v>
      </c>
      <c r="D37" t="str">
        <f t="shared" si="17"/>
        <v>0</v>
      </c>
      <c r="E37" t="str">
        <f t="shared" si="17"/>
        <v>0</v>
      </c>
      <c r="F37" t="str">
        <f t="shared" si="17"/>
        <v>0</v>
      </c>
      <c r="G37" t="str">
        <f t="shared" si="18"/>
        <v>1000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0</v>
      </c>
      <c r="F38" t="str">
        <f t="shared" si="17"/>
        <v>0</v>
      </c>
      <c r="G38" t="str">
        <f t="shared" si="18"/>
        <v>0100</v>
      </c>
    </row>
    <row r="39" spans="1:33">
      <c r="B39">
        <v>6</v>
      </c>
      <c r="C39" t="str">
        <f t="shared" si="17"/>
        <v>0</v>
      </c>
      <c r="D39" t="str">
        <f t="shared" si="17"/>
        <v>1</v>
      </c>
      <c r="E39" t="str">
        <f t="shared" si="17"/>
        <v>0</v>
      </c>
      <c r="F39" t="str">
        <f t="shared" si="17"/>
        <v>0</v>
      </c>
      <c r="G39" t="str">
        <f t="shared" si="18"/>
        <v>0100</v>
      </c>
    </row>
    <row r="40" spans="1:33">
      <c r="B40">
        <v>7</v>
      </c>
      <c r="C40" t="str">
        <f t="shared" si="17"/>
        <v>1</v>
      </c>
      <c r="D40" t="str">
        <f t="shared" si="17"/>
        <v>0</v>
      </c>
      <c r="E40" t="str">
        <f t="shared" si="17"/>
        <v>0</v>
      </c>
      <c r="F40" t="str">
        <f t="shared" si="17"/>
        <v>1</v>
      </c>
      <c r="G40" t="str">
        <f t="shared" si="18"/>
        <v>1001</v>
      </c>
    </row>
    <row r="41" spans="1:33">
      <c r="B41">
        <v>8</v>
      </c>
      <c r="C41" t="str">
        <f t="shared" si="17"/>
        <v>0</v>
      </c>
      <c r="D41" t="str">
        <f t="shared" si="17"/>
        <v>0</v>
      </c>
      <c r="E41" t="str">
        <f t="shared" si="17"/>
        <v>0</v>
      </c>
      <c r="F41" t="str">
        <f t="shared" si="17"/>
        <v>0</v>
      </c>
      <c r="G41" t="str">
        <f t="shared" si="18"/>
        <v>0000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10011111100010000100010010010000</v>
      </c>
    </row>
    <row r="44" spans="1:33">
      <c r="B44" t="str">
        <f>MID($B$43,B42,1)</f>
        <v>1</v>
      </c>
      <c r="C44" t="str">
        <f t="shared" ref="C44:AG44" si="19">MID($B$43,C42,1)</f>
        <v>0</v>
      </c>
      <c r="D44" t="str">
        <f t="shared" si="19"/>
        <v>0</v>
      </c>
      <c r="E44" t="str">
        <f t="shared" si="19"/>
        <v>1</v>
      </c>
      <c r="F44" t="str">
        <f t="shared" si="19"/>
        <v>1</v>
      </c>
      <c r="G44" t="str">
        <f t="shared" si="19"/>
        <v>1</v>
      </c>
      <c r="H44" t="str">
        <f t="shared" si="19"/>
        <v>1</v>
      </c>
      <c r="I44" t="str">
        <f t="shared" si="19"/>
        <v>1</v>
      </c>
      <c r="J44" t="str">
        <f t="shared" si="19"/>
        <v>1</v>
      </c>
      <c r="K44" t="str">
        <f t="shared" si="19"/>
        <v>0</v>
      </c>
      <c r="L44" t="str">
        <f t="shared" si="19"/>
        <v>0</v>
      </c>
      <c r="M44" t="str">
        <f t="shared" si="19"/>
        <v>0</v>
      </c>
      <c r="N44" t="str">
        <f t="shared" si="19"/>
        <v>1</v>
      </c>
      <c r="O44" t="str">
        <f t="shared" si="19"/>
        <v>0</v>
      </c>
      <c r="P44" t="str">
        <f t="shared" si="19"/>
        <v>0</v>
      </c>
      <c r="Q44" t="str">
        <f t="shared" si="19"/>
        <v>0</v>
      </c>
      <c r="R44" t="str">
        <f t="shared" si="19"/>
        <v>0</v>
      </c>
      <c r="S44" t="str">
        <f t="shared" si="19"/>
        <v>1</v>
      </c>
      <c r="T44" t="str">
        <f t="shared" si="19"/>
        <v>0</v>
      </c>
      <c r="U44" t="str">
        <f t="shared" si="19"/>
        <v>0</v>
      </c>
      <c r="V44" t="str">
        <f t="shared" si="19"/>
        <v>0</v>
      </c>
      <c r="W44" t="str">
        <f t="shared" si="19"/>
        <v>1</v>
      </c>
      <c r="X44" t="str">
        <f t="shared" si="19"/>
        <v>0</v>
      </c>
      <c r="Y44" t="str">
        <f t="shared" si="19"/>
        <v>0</v>
      </c>
      <c r="Z44" t="str">
        <f t="shared" si="19"/>
        <v>1</v>
      </c>
      <c r="AA44" t="str">
        <f t="shared" si="19"/>
        <v>0</v>
      </c>
      <c r="AB44" t="str">
        <f t="shared" si="19"/>
        <v>0</v>
      </c>
      <c r="AC44" t="str">
        <f t="shared" si="19"/>
        <v>1</v>
      </c>
      <c r="AD44" t="str">
        <f t="shared" si="19"/>
        <v>0</v>
      </c>
      <c r="AE44" t="str">
        <f t="shared" si="19"/>
        <v>0</v>
      </c>
      <c r="AF44" t="str">
        <f t="shared" si="19"/>
        <v>0</v>
      </c>
      <c r="AG44" t="str">
        <f t="shared" si="19"/>
        <v>0</v>
      </c>
    </row>
    <row r="45" spans="1:33">
      <c r="A45" t="str">
        <f>CONCATENATE("L",C4-1)</f>
        <v>L13</v>
      </c>
      <c r="B45" s="8" t="str">
        <f>'R13'!C6</f>
        <v>00100010101001011001011000111011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0</v>
      </c>
      <c r="F46" t="str">
        <f t="shared" si="20"/>
        <v>0</v>
      </c>
      <c r="G46" t="str">
        <f t="shared" si="20"/>
        <v>0</v>
      </c>
      <c r="H46" t="str">
        <f t="shared" si="20"/>
        <v>1</v>
      </c>
      <c r="I46" t="str">
        <f t="shared" si="20"/>
        <v>0</v>
      </c>
      <c r="J46" t="str">
        <f t="shared" si="20"/>
        <v>1</v>
      </c>
      <c r="K46" t="str">
        <f t="shared" si="20"/>
        <v>0</v>
      </c>
      <c r="L46" t="str">
        <f t="shared" si="20"/>
        <v>1</v>
      </c>
      <c r="M46" t="str">
        <f t="shared" si="20"/>
        <v>0</v>
      </c>
      <c r="N46" t="str">
        <f t="shared" si="20"/>
        <v>0</v>
      </c>
      <c r="O46" t="str">
        <f t="shared" si="20"/>
        <v>1</v>
      </c>
      <c r="P46" t="str">
        <f t="shared" si="20"/>
        <v>0</v>
      </c>
      <c r="Q46" t="str">
        <f t="shared" si="20"/>
        <v>1</v>
      </c>
      <c r="R46" t="str">
        <f t="shared" si="20"/>
        <v>1</v>
      </c>
      <c r="S46" t="str">
        <f t="shared" si="20"/>
        <v>0</v>
      </c>
      <c r="T46" t="str">
        <f t="shared" si="20"/>
        <v>0</v>
      </c>
      <c r="U46" t="str">
        <f t="shared" si="20"/>
        <v>1</v>
      </c>
      <c r="V46" t="str">
        <f t="shared" si="20"/>
        <v>0</v>
      </c>
      <c r="W46" t="str">
        <f t="shared" si="20"/>
        <v>1</v>
      </c>
      <c r="X46" t="str">
        <f t="shared" si="20"/>
        <v>1</v>
      </c>
      <c r="Y46" t="str">
        <f t="shared" si="20"/>
        <v>0</v>
      </c>
      <c r="Z46" t="str">
        <f t="shared" si="20"/>
        <v>0</v>
      </c>
      <c r="AA46" t="str">
        <f t="shared" si="20"/>
        <v>0</v>
      </c>
      <c r="AB46" t="str">
        <f t="shared" si="20"/>
        <v>1</v>
      </c>
      <c r="AC46" t="str">
        <f t="shared" si="20"/>
        <v>1</v>
      </c>
      <c r="AD46" t="str">
        <f t="shared" si="20"/>
        <v>1</v>
      </c>
      <c r="AE46" t="str">
        <f t="shared" si="20"/>
        <v>0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R14</v>
      </c>
      <c r="B47">
        <f>IF(B44=B46,0,1)</f>
        <v>1</v>
      </c>
      <c r="C47">
        <f t="shared" ref="C47:AG47" si="21">IF(C44=C46,0,1)</f>
        <v>0</v>
      </c>
      <c r="D47">
        <f t="shared" si="21"/>
        <v>1</v>
      </c>
      <c r="E47">
        <f t="shared" si="21"/>
        <v>1</v>
      </c>
      <c r="F47">
        <f t="shared" si="21"/>
        <v>1</v>
      </c>
      <c r="G47">
        <f t="shared" si="21"/>
        <v>1</v>
      </c>
      <c r="H47">
        <f t="shared" si="21"/>
        <v>0</v>
      </c>
      <c r="I47">
        <f t="shared" si="21"/>
        <v>1</v>
      </c>
      <c r="J47">
        <f t="shared" si="21"/>
        <v>0</v>
      </c>
      <c r="K47">
        <f t="shared" si="21"/>
        <v>0</v>
      </c>
      <c r="L47">
        <f t="shared" si="21"/>
        <v>1</v>
      </c>
      <c r="M47">
        <f t="shared" si="21"/>
        <v>0</v>
      </c>
      <c r="N47">
        <f t="shared" si="21"/>
        <v>1</v>
      </c>
      <c r="O47">
        <f t="shared" si="21"/>
        <v>1</v>
      </c>
      <c r="P47">
        <f t="shared" si="21"/>
        <v>0</v>
      </c>
      <c r="Q47">
        <f t="shared" si="21"/>
        <v>1</v>
      </c>
      <c r="R47">
        <f t="shared" si="21"/>
        <v>1</v>
      </c>
      <c r="S47">
        <f t="shared" si="21"/>
        <v>1</v>
      </c>
      <c r="T47">
        <f t="shared" si="21"/>
        <v>0</v>
      </c>
      <c r="U47">
        <f t="shared" si="21"/>
        <v>1</v>
      </c>
      <c r="V47">
        <f t="shared" si="21"/>
        <v>0</v>
      </c>
      <c r="W47">
        <f t="shared" si="21"/>
        <v>0</v>
      </c>
      <c r="X47">
        <f t="shared" si="21"/>
        <v>1</v>
      </c>
      <c r="Y47">
        <f t="shared" si="21"/>
        <v>0</v>
      </c>
      <c r="Z47">
        <f t="shared" si="21"/>
        <v>1</v>
      </c>
      <c r="AA47">
        <f t="shared" si="21"/>
        <v>0</v>
      </c>
      <c r="AB47">
        <f t="shared" si="21"/>
        <v>1</v>
      </c>
      <c r="AC47">
        <f t="shared" si="21"/>
        <v>0</v>
      </c>
      <c r="AD47">
        <f t="shared" si="21"/>
        <v>1</v>
      </c>
      <c r="AE47">
        <f t="shared" si="21"/>
        <v>0</v>
      </c>
      <c r="AF47">
        <f t="shared" si="21"/>
        <v>1</v>
      </c>
      <c r="AG47">
        <f t="shared" si="21"/>
        <v>1</v>
      </c>
    </row>
    <row r="48" spans="1:33">
      <c r="B48" t="str">
        <f>CONCATENATE(B47,C47,D47,E47)</f>
        <v>1011</v>
      </c>
      <c r="F48" t="str">
        <f>CONCATENATE(F47,G47,H47,I47)</f>
        <v>1101</v>
      </c>
      <c r="J48" t="str">
        <f>CONCATENATE(J47,K47,L47,M47)</f>
        <v>0010</v>
      </c>
      <c r="N48" t="str">
        <f>CONCATENATE(N47,O47,P47,Q47)</f>
        <v>1101</v>
      </c>
      <c r="R48" t="str">
        <f>CONCATENATE(R47,S47,T47,U47)</f>
        <v>1101</v>
      </c>
      <c r="V48" t="str">
        <f>CONCATENATE(V47,W47,X47,Y47)</f>
        <v>0010</v>
      </c>
      <c r="Z48" t="str">
        <f>CONCATENATE(Z47,AA47,AB47,AC47)</f>
        <v>1010</v>
      </c>
      <c r="AD48" t="str">
        <f>CONCATENATE(AD47,AE47,AF47,AG47)</f>
        <v>1011</v>
      </c>
    </row>
    <row r="49" spans="1:2">
      <c r="A49" t="str">
        <f>A47</f>
        <v>R14</v>
      </c>
      <c r="B49" t="str">
        <f>CONCATENATE(B48,F48,J48,N48,R48,V48,Z48,AD48)</f>
        <v>10111101001011011101001010101011</v>
      </c>
    </row>
    <row r="50" spans="1:2">
      <c r="A50" t="str">
        <f>CONCATENATE(A49," hex")</f>
        <v>R14 hex</v>
      </c>
      <c r="B50" t="str">
        <f>CONCATENATE(BIN2HEX(B48),BIN2HEX(F48),BIN2HEX(J48),BIN2HEX(N48),BIN2HEX(R48),BIN2HEX(V48),BIN2HEX(Z48),BIN2HEX(AD48))</f>
        <v>BD2DD2AB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50"/>
  <sheetViews>
    <sheetView topLeftCell="A31" workbookViewId="0">
      <selection activeCell="B45" sqref="B45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15</v>
      </c>
    </row>
    <row r="5" spans="1:13">
      <c r="A5" t="str">
        <f>CONCATENATE("K",C4)</f>
        <v>K15</v>
      </c>
      <c r="C5" s="8" t="str">
        <f>Kn!O16</f>
        <v>001100110011000011000101110110011010001101101101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L15   =</v>
      </c>
      <c r="B6" t="str">
        <f>CONCATENATE("R",(C4-1))</f>
        <v>R14</v>
      </c>
      <c r="C6" s="8" t="str">
        <f>'R14'!B49</f>
        <v>10111101001011011101001010101011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E(R14)</v>
      </c>
      <c r="B8">
        <v>1</v>
      </c>
      <c r="C8" s="1" t="str">
        <f t="shared" ref="C8:H15" si="0">MID($C$6,VLOOKUP($B8,E_BIT,C$7+1,FALSE),1)</f>
        <v>1</v>
      </c>
      <c r="D8" s="1" t="str">
        <f t="shared" si="0"/>
        <v>1</v>
      </c>
      <c r="E8" s="1" t="str">
        <f t="shared" si="0"/>
        <v>0</v>
      </c>
      <c r="F8" s="1" t="str">
        <f t="shared" si="0"/>
        <v>1</v>
      </c>
      <c r="G8" s="1" t="str">
        <f t="shared" si="0"/>
        <v>1</v>
      </c>
      <c r="H8" s="1" t="str">
        <f t="shared" si="0"/>
        <v>1</v>
      </c>
      <c r="I8" s="6" t="str">
        <f>CONCATENATE(C8,D8,E8,F8,G8,H8)</f>
        <v>110111</v>
      </c>
    </row>
    <row r="9" spans="1:13">
      <c r="B9">
        <v>2</v>
      </c>
      <c r="C9" s="1" t="str">
        <f t="shared" si="0"/>
        <v>1</v>
      </c>
      <c r="D9" s="1" t="str">
        <f t="shared" si="0"/>
        <v>1</v>
      </c>
      <c r="E9" s="1" t="str">
        <f t="shared" si="0"/>
        <v>1</v>
      </c>
      <c r="F9" s="1" t="str">
        <f t="shared" si="0"/>
        <v>0</v>
      </c>
      <c r="G9" s="1" t="str">
        <f t="shared" si="0"/>
        <v>1</v>
      </c>
      <c r="H9" s="1" t="str">
        <f t="shared" si="0"/>
        <v>0</v>
      </c>
      <c r="I9" s="6" t="str">
        <f t="shared" ref="I9:I15" si="1">CONCATENATE(C9,D9,E9,F9,G9,H9)</f>
        <v>111010</v>
      </c>
    </row>
    <row r="10" spans="1:13">
      <c r="B10">
        <v>3</v>
      </c>
      <c r="C10" s="1" t="str">
        <f t="shared" si="0"/>
        <v>1</v>
      </c>
      <c r="D10" s="1" t="str">
        <f t="shared" si="0"/>
        <v>0</v>
      </c>
      <c r="E10" s="1" t="str">
        <f t="shared" si="0"/>
        <v>0</v>
      </c>
      <c r="F10" s="1" t="str">
        <f t="shared" si="0"/>
        <v>1</v>
      </c>
      <c r="G10" s="1" t="str">
        <f t="shared" si="0"/>
        <v>0</v>
      </c>
      <c r="H10" s="1" t="str">
        <f t="shared" si="0"/>
        <v>1</v>
      </c>
      <c r="I10" s="6" t="str">
        <f t="shared" si="1"/>
        <v>100101</v>
      </c>
    </row>
    <row r="11" spans="1:13">
      <c r="B11">
        <v>4</v>
      </c>
      <c r="C11" s="1" t="str">
        <f t="shared" si="0"/>
        <v>0</v>
      </c>
      <c r="D11" s="1" t="str">
        <f t="shared" si="0"/>
        <v>1</v>
      </c>
      <c r="E11" s="1" t="str">
        <f t="shared" si="0"/>
        <v>1</v>
      </c>
      <c r="F11" s="1" t="str">
        <f t="shared" si="0"/>
        <v>0</v>
      </c>
      <c r="G11" s="1" t="str">
        <f t="shared" si="0"/>
        <v>1</v>
      </c>
      <c r="H11" s="1" t="str">
        <f t="shared" si="0"/>
        <v>1</v>
      </c>
      <c r="I11" s="6" t="str">
        <f t="shared" si="1"/>
        <v>011011</v>
      </c>
    </row>
    <row r="12" spans="1:13">
      <c r="B12">
        <v>5</v>
      </c>
      <c r="C12" s="1" t="str">
        <f t="shared" si="0"/>
        <v>1</v>
      </c>
      <c r="D12" s="1" t="str">
        <f t="shared" si="0"/>
        <v>1</v>
      </c>
      <c r="E12" s="1" t="str">
        <f t="shared" si="0"/>
        <v>1</v>
      </c>
      <c r="F12" s="1" t="str">
        <f t="shared" si="0"/>
        <v>0</v>
      </c>
      <c r="G12" s="1" t="str">
        <f t="shared" si="0"/>
        <v>1</v>
      </c>
      <c r="H12" s="1" t="str">
        <f t="shared" si="0"/>
        <v>0</v>
      </c>
      <c r="I12" s="6" t="str">
        <f t="shared" si="1"/>
        <v>111010</v>
      </c>
    </row>
    <row r="13" spans="1:13">
      <c r="B13">
        <v>6</v>
      </c>
      <c r="C13" s="1" t="str">
        <f t="shared" si="0"/>
        <v>1</v>
      </c>
      <c r="D13" s="1" t="str">
        <f t="shared" si="0"/>
        <v>0</v>
      </c>
      <c r="E13" s="1" t="str">
        <f t="shared" si="0"/>
        <v>0</v>
      </c>
      <c r="F13" s="1" t="str">
        <f t="shared" si="0"/>
        <v>1</v>
      </c>
      <c r="G13" s="1" t="str">
        <f t="shared" si="0"/>
        <v>0</v>
      </c>
      <c r="H13" s="1" t="str">
        <f t="shared" si="0"/>
        <v>1</v>
      </c>
      <c r="I13" s="6" t="str">
        <f t="shared" si="1"/>
        <v>100101</v>
      </c>
    </row>
    <row r="14" spans="1:13">
      <c r="B14">
        <v>7</v>
      </c>
      <c r="C14" s="1" t="str">
        <f t="shared" si="0"/>
        <v>0</v>
      </c>
      <c r="D14" s="1" t="str">
        <f t="shared" si="0"/>
        <v>1</v>
      </c>
      <c r="E14" s="1" t="str">
        <f t="shared" si="0"/>
        <v>0</v>
      </c>
      <c r="F14" s="1" t="str">
        <f t="shared" si="0"/>
        <v>1</v>
      </c>
      <c r="G14" s="1" t="str">
        <f t="shared" si="0"/>
        <v>0</v>
      </c>
      <c r="H14" s="1" t="str">
        <f t="shared" si="0"/>
        <v>1</v>
      </c>
      <c r="I14" s="6" t="str">
        <f t="shared" si="1"/>
        <v>010101</v>
      </c>
    </row>
    <row r="15" spans="1:13">
      <c r="B15">
        <v>8</v>
      </c>
      <c r="C15" s="1" t="str">
        <f t="shared" si="0"/>
        <v>0</v>
      </c>
      <c r="D15" s="1" t="str">
        <f t="shared" si="0"/>
        <v>1</v>
      </c>
      <c r="E15" s="1" t="str">
        <f t="shared" si="0"/>
        <v>0</v>
      </c>
      <c r="F15" s="1" t="str">
        <f t="shared" si="0"/>
        <v>1</v>
      </c>
      <c r="G15" s="1" t="str">
        <f t="shared" si="0"/>
        <v>1</v>
      </c>
      <c r="H15" s="1" t="str">
        <f t="shared" si="0"/>
        <v>1</v>
      </c>
      <c r="I15" s="6" t="str">
        <f t="shared" si="1"/>
        <v>010111</v>
      </c>
    </row>
    <row r="16" spans="1:13">
      <c r="A16" t="str">
        <f>A8</f>
        <v>E(R14)</v>
      </c>
      <c r="B16" t="str">
        <f>CONCATENATE(I8,I9,I10,I11,I12,I13,I14,I15)</f>
        <v>110111111010100101011011111010100101010101010111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K15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1</v>
      </c>
      <c r="E19" t="str">
        <f t="shared" si="2"/>
        <v>1</v>
      </c>
      <c r="F19" t="str">
        <f t="shared" si="2"/>
        <v>0</v>
      </c>
      <c r="G19" t="str">
        <f t="shared" si="2"/>
        <v>0</v>
      </c>
      <c r="H19" t="str">
        <f t="shared" si="2"/>
        <v>1</v>
      </c>
      <c r="I19" t="str">
        <f t="shared" si="2"/>
        <v>1</v>
      </c>
      <c r="J19" t="str">
        <f t="shared" si="2"/>
        <v>0</v>
      </c>
      <c r="K19" t="str">
        <f t="shared" si="2"/>
        <v>0</v>
      </c>
      <c r="L19" t="str">
        <f t="shared" si="2"/>
        <v>1</v>
      </c>
      <c r="M19" t="str">
        <f t="shared" si="2"/>
        <v>1</v>
      </c>
      <c r="N19" t="str">
        <f t="shared" si="2"/>
        <v>0</v>
      </c>
      <c r="O19" t="str">
        <f t="shared" si="2"/>
        <v>0</v>
      </c>
      <c r="P19" t="str">
        <f t="shared" si="2"/>
        <v>0</v>
      </c>
      <c r="Q19" t="str">
        <f t="shared" si="2"/>
        <v>0</v>
      </c>
      <c r="R19" t="str">
        <f t="shared" si="2"/>
        <v>1</v>
      </c>
      <c r="S19" t="str">
        <f t="shared" si="2"/>
        <v>1</v>
      </c>
      <c r="T19" t="str">
        <f t="shared" si="2"/>
        <v>0</v>
      </c>
      <c r="U19" t="str">
        <f t="shared" si="2"/>
        <v>0</v>
      </c>
      <c r="V19" t="str">
        <f t="shared" si="2"/>
        <v>0</v>
      </c>
      <c r="W19" t="str">
        <f t="shared" si="2"/>
        <v>1</v>
      </c>
      <c r="X19" t="str">
        <f t="shared" si="2"/>
        <v>0</v>
      </c>
      <c r="Y19" t="str">
        <f t="shared" si="2"/>
        <v>1</v>
      </c>
      <c r="Z19" t="str">
        <f t="shared" si="2"/>
        <v>1</v>
      </c>
      <c r="AA19" t="str">
        <f t="shared" si="2"/>
        <v>1</v>
      </c>
      <c r="AB19" t="str">
        <f t="shared" si="2"/>
        <v>0</v>
      </c>
      <c r="AC19" t="str">
        <f t="shared" si="2"/>
        <v>1</v>
      </c>
      <c r="AD19" t="str">
        <f t="shared" si="2"/>
        <v>1</v>
      </c>
      <c r="AE19" t="str">
        <f t="shared" si="2"/>
        <v>0</v>
      </c>
      <c r="AF19" t="str">
        <f t="shared" si="2"/>
        <v>0</v>
      </c>
      <c r="AG19" t="str">
        <f t="shared" si="2"/>
        <v>1</v>
      </c>
      <c r="AH19" t="str">
        <f t="shared" si="2"/>
        <v>1</v>
      </c>
      <c r="AI19" t="str">
        <f t="shared" si="2"/>
        <v>0</v>
      </c>
      <c r="AJ19" t="str">
        <f t="shared" si="2"/>
        <v>1</v>
      </c>
      <c r="AK19" t="str">
        <f t="shared" si="2"/>
        <v>0</v>
      </c>
      <c r="AL19" t="str">
        <f t="shared" si="2"/>
        <v>0</v>
      </c>
      <c r="AM19" t="str">
        <f t="shared" si="2"/>
        <v>0</v>
      </c>
      <c r="AN19" t="str">
        <f t="shared" si="2"/>
        <v>1</v>
      </c>
      <c r="AO19" t="str">
        <f t="shared" si="2"/>
        <v>1</v>
      </c>
      <c r="AP19" t="str">
        <f t="shared" si="2"/>
        <v>0</v>
      </c>
      <c r="AQ19" t="str">
        <f t="shared" si="2"/>
        <v>1</v>
      </c>
      <c r="AR19" t="str">
        <f t="shared" si="2"/>
        <v>1</v>
      </c>
      <c r="AS19" t="str">
        <f t="shared" si="2"/>
        <v>0</v>
      </c>
      <c r="AT19" t="str">
        <f t="shared" si="2"/>
        <v>1</v>
      </c>
      <c r="AU19" t="str">
        <f t="shared" si="2"/>
        <v>1</v>
      </c>
      <c r="AV19" t="str">
        <f t="shared" si="2"/>
        <v>0</v>
      </c>
      <c r="AW19" t="str">
        <f t="shared" si="2"/>
        <v>1</v>
      </c>
    </row>
    <row r="20" spans="1:49">
      <c r="A20" t="str">
        <f>A16</f>
        <v>E(R14)</v>
      </c>
      <c r="B20" t="str">
        <f>MID($B$16,B18,1)</f>
        <v>1</v>
      </c>
      <c r="C20" t="str">
        <f t="shared" ref="C20:AW20" si="3">MID($B$16,C18,1)</f>
        <v>1</v>
      </c>
      <c r="D20" t="str">
        <f t="shared" si="3"/>
        <v>0</v>
      </c>
      <c r="E20" t="str">
        <f t="shared" si="3"/>
        <v>1</v>
      </c>
      <c r="F20" t="str">
        <f t="shared" si="3"/>
        <v>1</v>
      </c>
      <c r="G20" t="str">
        <f t="shared" si="3"/>
        <v>1</v>
      </c>
      <c r="H20" t="str">
        <f t="shared" si="3"/>
        <v>1</v>
      </c>
      <c r="I20" t="str">
        <f t="shared" si="3"/>
        <v>1</v>
      </c>
      <c r="J20" t="str">
        <f t="shared" si="3"/>
        <v>1</v>
      </c>
      <c r="K20" t="str">
        <f t="shared" si="3"/>
        <v>0</v>
      </c>
      <c r="L20" t="str">
        <f t="shared" si="3"/>
        <v>1</v>
      </c>
      <c r="M20" t="str">
        <f t="shared" si="3"/>
        <v>0</v>
      </c>
      <c r="N20" t="str">
        <f t="shared" si="3"/>
        <v>1</v>
      </c>
      <c r="O20" t="str">
        <f t="shared" si="3"/>
        <v>0</v>
      </c>
      <c r="P20" t="str">
        <f t="shared" si="3"/>
        <v>0</v>
      </c>
      <c r="Q20" t="str">
        <f t="shared" si="3"/>
        <v>1</v>
      </c>
      <c r="R20" t="str">
        <f t="shared" si="3"/>
        <v>0</v>
      </c>
      <c r="S20" t="str">
        <f t="shared" si="3"/>
        <v>1</v>
      </c>
      <c r="T20" t="str">
        <f t="shared" si="3"/>
        <v>0</v>
      </c>
      <c r="U20" t="str">
        <f t="shared" si="3"/>
        <v>1</v>
      </c>
      <c r="V20" t="str">
        <f t="shared" si="3"/>
        <v>1</v>
      </c>
      <c r="W20" t="str">
        <f t="shared" si="3"/>
        <v>0</v>
      </c>
      <c r="X20" t="str">
        <f t="shared" si="3"/>
        <v>1</v>
      </c>
      <c r="Y20" t="str">
        <f t="shared" si="3"/>
        <v>1</v>
      </c>
      <c r="Z20" t="str">
        <f t="shared" si="3"/>
        <v>1</v>
      </c>
      <c r="AA20" t="str">
        <f t="shared" si="3"/>
        <v>1</v>
      </c>
      <c r="AB20" t="str">
        <f t="shared" si="3"/>
        <v>1</v>
      </c>
      <c r="AC20" t="str">
        <f t="shared" si="3"/>
        <v>0</v>
      </c>
      <c r="AD20" t="str">
        <f t="shared" si="3"/>
        <v>1</v>
      </c>
      <c r="AE20" t="str">
        <f t="shared" si="3"/>
        <v>0</v>
      </c>
      <c r="AF20" t="str">
        <f t="shared" si="3"/>
        <v>1</v>
      </c>
      <c r="AG20" t="str">
        <f t="shared" si="3"/>
        <v>0</v>
      </c>
      <c r="AH20" t="str">
        <f t="shared" si="3"/>
        <v>0</v>
      </c>
      <c r="AI20" t="str">
        <f t="shared" si="3"/>
        <v>1</v>
      </c>
      <c r="AJ20" t="str">
        <f t="shared" si="3"/>
        <v>0</v>
      </c>
      <c r="AK20" t="str">
        <f t="shared" si="3"/>
        <v>1</v>
      </c>
      <c r="AL20" t="str">
        <f t="shared" si="3"/>
        <v>0</v>
      </c>
      <c r="AM20" t="str">
        <f t="shared" si="3"/>
        <v>1</v>
      </c>
      <c r="AN20" t="str">
        <f t="shared" si="3"/>
        <v>0</v>
      </c>
      <c r="AO20" t="str">
        <f t="shared" si="3"/>
        <v>1</v>
      </c>
      <c r="AP20" t="str">
        <f t="shared" si="3"/>
        <v>0</v>
      </c>
      <c r="AQ20" t="str">
        <f t="shared" si="3"/>
        <v>1</v>
      </c>
      <c r="AR20" t="str">
        <f t="shared" si="3"/>
        <v>0</v>
      </c>
      <c r="AS20" t="str">
        <f t="shared" si="3"/>
        <v>1</v>
      </c>
      <c r="AT20" t="str">
        <f t="shared" si="3"/>
        <v>0</v>
      </c>
      <c r="AU20" t="str">
        <f t="shared" si="3"/>
        <v>1</v>
      </c>
      <c r="AV20" t="str">
        <f t="shared" si="3"/>
        <v>1</v>
      </c>
      <c r="AW20" t="str">
        <f t="shared" si="3"/>
        <v>1</v>
      </c>
    </row>
    <row r="21" spans="1:49">
      <c r="A21" s="6" t="str">
        <f>CONCATENATE(A19," + ",A20)</f>
        <v>K15 + E(R14)</v>
      </c>
      <c r="B21" s="1">
        <f>IF(B19=B20,0,1)</f>
        <v>1</v>
      </c>
      <c r="C21" s="1">
        <f t="shared" ref="C21:AW21" si="4">IF(C19=C20,0,1)</f>
        <v>1</v>
      </c>
      <c r="D21" s="1">
        <f t="shared" si="4"/>
        <v>1</v>
      </c>
      <c r="E21" s="1">
        <f t="shared" si="4"/>
        <v>0</v>
      </c>
      <c r="F21" s="1">
        <f t="shared" si="4"/>
        <v>1</v>
      </c>
      <c r="G21" s="1">
        <f t="shared" si="4"/>
        <v>1</v>
      </c>
      <c r="H21" s="1">
        <f t="shared" si="4"/>
        <v>0</v>
      </c>
      <c r="I21" s="1">
        <f t="shared" si="4"/>
        <v>0</v>
      </c>
      <c r="J21" s="1">
        <f t="shared" si="4"/>
        <v>1</v>
      </c>
      <c r="K21" s="1">
        <f t="shared" si="4"/>
        <v>0</v>
      </c>
      <c r="L21" s="1">
        <f t="shared" si="4"/>
        <v>0</v>
      </c>
      <c r="M21" s="1">
        <f t="shared" si="4"/>
        <v>1</v>
      </c>
      <c r="N21" s="1">
        <f t="shared" si="4"/>
        <v>1</v>
      </c>
      <c r="O21" s="1">
        <f t="shared" si="4"/>
        <v>0</v>
      </c>
      <c r="P21" s="1">
        <f t="shared" si="4"/>
        <v>0</v>
      </c>
      <c r="Q21" s="1">
        <f t="shared" si="4"/>
        <v>1</v>
      </c>
      <c r="R21" s="1">
        <f t="shared" si="4"/>
        <v>1</v>
      </c>
      <c r="S21" s="1">
        <f t="shared" si="4"/>
        <v>0</v>
      </c>
      <c r="T21" s="1">
        <f t="shared" si="4"/>
        <v>0</v>
      </c>
      <c r="U21" s="1">
        <f t="shared" si="4"/>
        <v>1</v>
      </c>
      <c r="V21" s="1">
        <f t="shared" si="4"/>
        <v>1</v>
      </c>
      <c r="W21" s="1">
        <f t="shared" si="4"/>
        <v>1</v>
      </c>
      <c r="X21" s="1">
        <f t="shared" si="4"/>
        <v>1</v>
      </c>
      <c r="Y21" s="1">
        <f t="shared" si="4"/>
        <v>0</v>
      </c>
      <c r="Z21" s="1">
        <f t="shared" si="4"/>
        <v>0</v>
      </c>
      <c r="AA21" s="1">
        <f t="shared" si="4"/>
        <v>0</v>
      </c>
      <c r="AB21" s="1">
        <f t="shared" si="4"/>
        <v>1</v>
      </c>
      <c r="AC21" s="1">
        <f t="shared" si="4"/>
        <v>1</v>
      </c>
      <c r="AD21" s="1">
        <f t="shared" si="4"/>
        <v>0</v>
      </c>
      <c r="AE21" s="1">
        <f t="shared" si="4"/>
        <v>0</v>
      </c>
      <c r="AF21" s="1">
        <f t="shared" si="4"/>
        <v>1</v>
      </c>
      <c r="AG21" s="1">
        <f t="shared" si="4"/>
        <v>1</v>
      </c>
      <c r="AH21" s="1">
        <f t="shared" si="4"/>
        <v>1</v>
      </c>
      <c r="AI21" s="1">
        <f t="shared" si="4"/>
        <v>1</v>
      </c>
      <c r="AJ21" s="1">
        <f t="shared" si="4"/>
        <v>1</v>
      </c>
      <c r="AK21" s="1">
        <f t="shared" si="4"/>
        <v>1</v>
      </c>
      <c r="AL21" s="1">
        <f t="shared" si="4"/>
        <v>0</v>
      </c>
      <c r="AM21" s="1">
        <f t="shared" si="4"/>
        <v>1</v>
      </c>
      <c r="AN21" s="1">
        <f t="shared" si="4"/>
        <v>1</v>
      </c>
      <c r="AO21" s="1">
        <f t="shared" si="4"/>
        <v>0</v>
      </c>
      <c r="AP21" s="1">
        <f t="shared" si="4"/>
        <v>0</v>
      </c>
      <c r="AQ21" s="1">
        <f t="shared" si="4"/>
        <v>0</v>
      </c>
      <c r="AR21" s="1">
        <f t="shared" si="4"/>
        <v>1</v>
      </c>
      <c r="AS21" s="1">
        <f t="shared" si="4"/>
        <v>1</v>
      </c>
      <c r="AT21" s="1">
        <f t="shared" si="4"/>
        <v>1</v>
      </c>
      <c r="AU21" s="1">
        <f t="shared" si="4"/>
        <v>0</v>
      </c>
      <c r="AV21" s="1">
        <f t="shared" si="4"/>
        <v>1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1</v>
      </c>
      <c r="C23">
        <f t="shared" ref="C23:G23" si="5">C21</f>
        <v>1</v>
      </c>
      <c r="D23">
        <f t="shared" si="5"/>
        <v>1</v>
      </c>
      <c r="E23">
        <f t="shared" si="5"/>
        <v>0</v>
      </c>
      <c r="F23">
        <f t="shared" si="5"/>
        <v>1</v>
      </c>
      <c r="G23">
        <f t="shared" si="5"/>
        <v>1</v>
      </c>
      <c r="H23" t="str">
        <f>CONCATENATE(B23,G23)</f>
        <v>11</v>
      </c>
      <c r="I23" t="str">
        <f>CONCATENATE(C23,D23,E23,F23)</f>
        <v>1101</v>
      </c>
      <c r="J23">
        <f>BIN2DEC(H23)</f>
        <v>3</v>
      </c>
      <c r="K23">
        <f>BIN2DEC(I23)</f>
        <v>13</v>
      </c>
      <c r="L23">
        <f>VLOOKUP(J23,S1_BOX,K23+2,FALSE)</f>
        <v>0</v>
      </c>
      <c r="M23" t="str">
        <f>DEC2BIN(L23,4)</f>
        <v>0000</v>
      </c>
    </row>
    <row r="24" spans="1:49">
      <c r="A24" t="s">
        <v>155</v>
      </c>
      <c r="B24">
        <f>H21</f>
        <v>0</v>
      </c>
      <c r="C24">
        <f t="shared" ref="C24:G24" si="6">I21</f>
        <v>0</v>
      </c>
      <c r="D24">
        <f t="shared" si="6"/>
        <v>1</v>
      </c>
      <c r="E24">
        <f t="shared" si="6"/>
        <v>0</v>
      </c>
      <c r="F24">
        <f t="shared" si="6"/>
        <v>0</v>
      </c>
      <c r="G24">
        <f t="shared" si="6"/>
        <v>1</v>
      </c>
      <c r="H24" t="str">
        <f t="shared" ref="H24:H30" si="7">CONCATENATE(B24,G24)</f>
        <v>01</v>
      </c>
      <c r="I24" t="str">
        <f t="shared" ref="I24:I30" si="8">CONCATENATE(C24,D24,E24,F24)</f>
        <v>0100</v>
      </c>
      <c r="J24">
        <f t="shared" ref="J24:K30" si="9">BIN2DEC(H24)</f>
        <v>1</v>
      </c>
      <c r="K24">
        <f t="shared" si="9"/>
        <v>4</v>
      </c>
      <c r="L24">
        <f>VLOOKUP(J24,S2_BOX,K24+2,FALSE)</f>
        <v>15</v>
      </c>
      <c r="M24" t="str">
        <f t="shared" ref="M24:M30" si="10">DEC2BIN(L24,4)</f>
        <v>1111</v>
      </c>
    </row>
    <row r="25" spans="1:49">
      <c r="A25" t="s">
        <v>156</v>
      </c>
      <c r="B25">
        <f>N21</f>
        <v>1</v>
      </c>
      <c r="C25">
        <f t="shared" ref="C25:G25" si="11">O21</f>
        <v>0</v>
      </c>
      <c r="D25">
        <f t="shared" si="11"/>
        <v>0</v>
      </c>
      <c r="E25">
        <f t="shared" si="11"/>
        <v>1</v>
      </c>
      <c r="F25">
        <f t="shared" si="11"/>
        <v>1</v>
      </c>
      <c r="G25">
        <f t="shared" si="11"/>
        <v>0</v>
      </c>
      <c r="H25" t="str">
        <f t="shared" si="7"/>
        <v>10</v>
      </c>
      <c r="I25" t="str">
        <f t="shared" si="8"/>
        <v>0011</v>
      </c>
      <c r="J25">
        <f t="shared" si="9"/>
        <v>2</v>
      </c>
      <c r="K25">
        <f t="shared" si="9"/>
        <v>3</v>
      </c>
      <c r="L25">
        <f>VLOOKUP(J25,S3_BOX,K25+2,FALSE)</f>
        <v>9</v>
      </c>
      <c r="M25" t="str">
        <f t="shared" si="10"/>
        <v>1001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1</v>
      </c>
      <c r="E26">
        <f t="shared" si="12"/>
        <v>1</v>
      </c>
      <c r="F26">
        <f t="shared" si="12"/>
        <v>1</v>
      </c>
      <c r="G26">
        <f t="shared" si="12"/>
        <v>0</v>
      </c>
      <c r="H26" t="str">
        <f t="shared" si="7"/>
        <v>00</v>
      </c>
      <c r="I26" t="str">
        <f t="shared" si="8"/>
        <v>1111</v>
      </c>
      <c r="J26">
        <f t="shared" si="9"/>
        <v>0</v>
      </c>
      <c r="K26">
        <f t="shared" si="9"/>
        <v>15</v>
      </c>
      <c r="L26">
        <f>VLOOKUP(J26,S4_BOX,K26+2,FALSE)</f>
        <v>15</v>
      </c>
      <c r="M26" t="str">
        <f t="shared" si="10"/>
        <v>1111</v>
      </c>
    </row>
    <row r="27" spans="1:49">
      <c r="A27" t="s">
        <v>158</v>
      </c>
      <c r="B27">
        <f>Z21</f>
        <v>0</v>
      </c>
      <c r="C27">
        <f t="shared" ref="C27:G27" si="13">AA21</f>
        <v>0</v>
      </c>
      <c r="D27">
        <f t="shared" si="13"/>
        <v>1</v>
      </c>
      <c r="E27">
        <f t="shared" si="13"/>
        <v>1</v>
      </c>
      <c r="F27">
        <f t="shared" si="13"/>
        <v>0</v>
      </c>
      <c r="G27">
        <f t="shared" si="13"/>
        <v>0</v>
      </c>
      <c r="H27" t="str">
        <f t="shared" si="7"/>
        <v>00</v>
      </c>
      <c r="I27" t="str">
        <f t="shared" si="8"/>
        <v>0110</v>
      </c>
      <c r="J27">
        <f t="shared" si="9"/>
        <v>0</v>
      </c>
      <c r="K27">
        <f t="shared" si="9"/>
        <v>6</v>
      </c>
      <c r="L27">
        <f>VLOOKUP(J27,S5_BOX,K27+2,FALSE)</f>
        <v>11</v>
      </c>
      <c r="M27" t="str">
        <f t="shared" si="10"/>
        <v>1011</v>
      </c>
    </row>
    <row r="28" spans="1:49">
      <c r="A28" t="s">
        <v>159</v>
      </c>
      <c r="B28">
        <f>AF21</f>
        <v>1</v>
      </c>
      <c r="C28">
        <f t="shared" ref="C28:G28" si="14">AG21</f>
        <v>1</v>
      </c>
      <c r="D28">
        <f t="shared" si="14"/>
        <v>1</v>
      </c>
      <c r="E28">
        <f t="shared" si="14"/>
        <v>1</v>
      </c>
      <c r="F28">
        <f t="shared" si="14"/>
        <v>1</v>
      </c>
      <c r="G28">
        <f t="shared" si="14"/>
        <v>1</v>
      </c>
      <c r="H28" t="str">
        <f t="shared" si="7"/>
        <v>11</v>
      </c>
      <c r="I28" t="str">
        <f t="shared" si="8"/>
        <v>1111</v>
      </c>
      <c r="J28">
        <f t="shared" si="9"/>
        <v>3</v>
      </c>
      <c r="K28">
        <f t="shared" si="9"/>
        <v>15</v>
      </c>
      <c r="L28">
        <f>VLOOKUP(J28,S6_BOX,K28+2,FALSE)</f>
        <v>13</v>
      </c>
      <c r="M28" t="str">
        <f t="shared" si="10"/>
        <v>1101</v>
      </c>
    </row>
    <row r="29" spans="1:49">
      <c r="A29" t="s">
        <v>160</v>
      </c>
      <c r="B29">
        <f>AL21</f>
        <v>0</v>
      </c>
      <c r="C29">
        <f t="shared" ref="C29:G29" si="15">AM21</f>
        <v>1</v>
      </c>
      <c r="D29">
        <f t="shared" si="15"/>
        <v>1</v>
      </c>
      <c r="E29">
        <f t="shared" si="15"/>
        <v>0</v>
      </c>
      <c r="F29">
        <f t="shared" si="15"/>
        <v>0</v>
      </c>
      <c r="G29">
        <f t="shared" si="15"/>
        <v>0</v>
      </c>
      <c r="H29" t="str">
        <f t="shared" si="7"/>
        <v>00</v>
      </c>
      <c r="I29" t="str">
        <f t="shared" si="8"/>
        <v>1100</v>
      </c>
      <c r="J29">
        <f t="shared" si="9"/>
        <v>0</v>
      </c>
      <c r="K29">
        <f t="shared" si="9"/>
        <v>12</v>
      </c>
      <c r="L29">
        <f>VLOOKUP(J29,S7_BOX,K29+2,FALSE)</f>
        <v>5</v>
      </c>
      <c r="M29" t="str">
        <f t="shared" si="10"/>
        <v>0101</v>
      </c>
    </row>
    <row r="30" spans="1:49">
      <c r="A30" t="s">
        <v>161</v>
      </c>
      <c r="B30">
        <f>AR21</f>
        <v>1</v>
      </c>
      <c r="C30">
        <f t="shared" ref="C30:G30" si="16">AS21</f>
        <v>1</v>
      </c>
      <c r="D30">
        <f t="shared" si="16"/>
        <v>1</v>
      </c>
      <c r="E30">
        <f t="shared" si="16"/>
        <v>0</v>
      </c>
      <c r="F30">
        <f t="shared" si="16"/>
        <v>1</v>
      </c>
      <c r="G30">
        <f t="shared" si="16"/>
        <v>0</v>
      </c>
      <c r="H30" t="str">
        <f t="shared" si="7"/>
        <v>10</v>
      </c>
      <c r="I30" t="str">
        <f t="shared" si="8"/>
        <v>1101</v>
      </c>
      <c r="J30">
        <f t="shared" si="9"/>
        <v>2</v>
      </c>
      <c r="K30">
        <f t="shared" si="9"/>
        <v>13</v>
      </c>
      <c r="L30">
        <f>VLOOKUP(J30,S8_BOX,K30+2,FALSE)</f>
        <v>3</v>
      </c>
      <c r="M30" t="str">
        <f t="shared" si="10"/>
        <v>0011</v>
      </c>
    </row>
    <row r="31" spans="1:49">
      <c r="A31" t="s">
        <v>162</v>
      </c>
      <c r="B31" t="str">
        <f>CONCATENATE(M23,M24,M25,M26,M27,M28,M29,M30)</f>
        <v>00001111100111111011110101010011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1</v>
      </c>
      <c r="E34" t="str">
        <f t="shared" si="17"/>
        <v>1</v>
      </c>
      <c r="F34" t="str">
        <f t="shared" si="17"/>
        <v>1</v>
      </c>
      <c r="G34" t="str">
        <f>CONCATENATE(C34,D34,E34,F34)</f>
        <v>1111</v>
      </c>
    </row>
    <row r="35" spans="1:33">
      <c r="B35">
        <v>2</v>
      </c>
      <c r="C35" t="str">
        <f t="shared" si="17"/>
        <v>0</v>
      </c>
      <c r="D35" t="str">
        <f t="shared" si="17"/>
        <v>1</v>
      </c>
      <c r="E35" t="str">
        <f t="shared" si="17"/>
        <v>1</v>
      </c>
      <c r="F35" t="str">
        <f t="shared" si="17"/>
        <v>1</v>
      </c>
      <c r="G35" t="str">
        <f t="shared" ref="G35:G41" si="18">CONCATENATE(C35,D35,E35,F35)</f>
        <v>0111</v>
      </c>
    </row>
    <row r="36" spans="1:33">
      <c r="B36">
        <v>3</v>
      </c>
      <c r="C36" t="str">
        <f t="shared" si="17"/>
        <v>0</v>
      </c>
      <c r="D36" t="str">
        <f t="shared" si="17"/>
        <v>1</v>
      </c>
      <c r="E36" t="str">
        <f t="shared" si="17"/>
        <v>0</v>
      </c>
      <c r="F36" t="str">
        <f t="shared" si="17"/>
        <v>1</v>
      </c>
      <c r="G36" t="str">
        <f t="shared" si="18"/>
        <v>0101</v>
      </c>
    </row>
    <row r="37" spans="1:33">
      <c r="B37">
        <v>4</v>
      </c>
      <c r="C37" t="str">
        <f t="shared" si="17"/>
        <v>1</v>
      </c>
      <c r="D37" t="str">
        <f t="shared" si="17"/>
        <v>0</v>
      </c>
      <c r="E37" t="str">
        <f t="shared" si="17"/>
        <v>1</v>
      </c>
      <c r="F37" t="str">
        <f t="shared" si="17"/>
        <v>0</v>
      </c>
      <c r="G37" t="str">
        <f t="shared" si="18"/>
        <v>1010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1</v>
      </c>
      <c r="F38" t="str">
        <f t="shared" si="17"/>
        <v>1</v>
      </c>
      <c r="G38" t="str">
        <f t="shared" si="18"/>
        <v>0111</v>
      </c>
    </row>
    <row r="39" spans="1:33">
      <c r="B39">
        <v>6</v>
      </c>
      <c r="C39" t="str">
        <f t="shared" si="17"/>
        <v>1</v>
      </c>
      <c r="D39" t="str">
        <f t="shared" si="17"/>
        <v>0</v>
      </c>
      <c r="E39" t="str">
        <f t="shared" si="17"/>
        <v>0</v>
      </c>
      <c r="F39" t="str">
        <f t="shared" si="17"/>
        <v>1</v>
      </c>
      <c r="G39" t="str">
        <f t="shared" si="18"/>
        <v>1001</v>
      </c>
    </row>
    <row r="40" spans="1:33">
      <c r="B40">
        <v>7</v>
      </c>
      <c r="C40" t="str">
        <f t="shared" si="17"/>
        <v>1</v>
      </c>
      <c r="D40" t="str">
        <f t="shared" si="17"/>
        <v>1</v>
      </c>
      <c r="E40" t="str">
        <f t="shared" si="17"/>
        <v>0</v>
      </c>
      <c r="F40" t="str">
        <f t="shared" si="17"/>
        <v>1</v>
      </c>
      <c r="G40" t="str">
        <f t="shared" si="18"/>
        <v>1101</v>
      </c>
    </row>
    <row r="41" spans="1:33">
      <c r="B41">
        <v>8</v>
      </c>
      <c r="C41" t="str">
        <f t="shared" si="17"/>
        <v>1</v>
      </c>
      <c r="D41" t="str">
        <f t="shared" si="17"/>
        <v>0</v>
      </c>
      <c r="E41" t="str">
        <f t="shared" si="17"/>
        <v>0</v>
      </c>
      <c r="F41" t="str">
        <f t="shared" si="17"/>
        <v>0</v>
      </c>
      <c r="G41" t="str">
        <f t="shared" si="18"/>
        <v>1000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11110111010110100111100111011000</v>
      </c>
    </row>
    <row r="44" spans="1:33">
      <c r="B44" t="str">
        <f>MID($B$43,B42,1)</f>
        <v>1</v>
      </c>
      <c r="C44" t="str">
        <f t="shared" ref="C44:AG44" si="19">MID($B$43,C42,1)</f>
        <v>1</v>
      </c>
      <c r="D44" t="str">
        <f t="shared" si="19"/>
        <v>1</v>
      </c>
      <c r="E44" t="str">
        <f t="shared" si="19"/>
        <v>1</v>
      </c>
      <c r="F44" t="str">
        <f t="shared" si="19"/>
        <v>0</v>
      </c>
      <c r="G44" t="str">
        <f t="shared" si="19"/>
        <v>1</v>
      </c>
      <c r="H44" t="str">
        <f t="shared" si="19"/>
        <v>1</v>
      </c>
      <c r="I44" t="str">
        <f t="shared" si="19"/>
        <v>1</v>
      </c>
      <c r="J44" t="str">
        <f t="shared" si="19"/>
        <v>0</v>
      </c>
      <c r="K44" t="str">
        <f t="shared" si="19"/>
        <v>1</v>
      </c>
      <c r="L44" t="str">
        <f t="shared" si="19"/>
        <v>0</v>
      </c>
      <c r="M44" t="str">
        <f t="shared" si="19"/>
        <v>1</v>
      </c>
      <c r="N44" t="str">
        <f t="shared" si="19"/>
        <v>1</v>
      </c>
      <c r="O44" t="str">
        <f t="shared" si="19"/>
        <v>0</v>
      </c>
      <c r="P44" t="str">
        <f t="shared" si="19"/>
        <v>1</v>
      </c>
      <c r="Q44" t="str">
        <f t="shared" si="19"/>
        <v>0</v>
      </c>
      <c r="R44" t="str">
        <f t="shared" si="19"/>
        <v>0</v>
      </c>
      <c r="S44" t="str">
        <f t="shared" si="19"/>
        <v>1</v>
      </c>
      <c r="T44" t="str">
        <f t="shared" si="19"/>
        <v>1</v>
      </c>
      <c r="U44" t="str">
        <f t="shared" si="19"/>
        <v>1</v>
      </c>
      <c r="V44" t="str">
        <f t="shared" si="19"/>
        <v>1</v>
      </c>
      <c r="W44" t="str">
        <f t="shared" si="19"/>
        <v>0</v>
      </c>
      <c r="X44" t="str">
        <f t="shared" si="19"/>
        <v>0</v>
      </c>
      <c r="Y44" t="str">
        <f t="shared" si="19"/>
        <v>1</v>
      </c>
      <c r="Z44" t="str">
        <f t="shared" si="19"/>
        <v>1</v>
      </c>
      <c r="AA44" t="str">
        <f t="shared" si="19"/>
        <v>1</v>
      </c>
      <c r="AB44" t="str">
        <f t="shared" si="19"/>
        <v>0</v>
      </c>
      <c r="AC44" t="str">
        <f t="shared" si="19"/>
        <v>1</v>
      </c>
      <c r="AD44" t="str">
        <f t="shared" si="19"/>
        <v>1</v>
      </c>
      <c r="AE44" t="str">
        <f t="shared" si="19"/>
        <v>0</v>
      </c>
      <c r="AF44" t="str">
        <f t="shared" si="19"/>
        <v>0</v>
      </c>
      <c r="AG44" t="str">
        <f t="shared" si="19"/>
        <v>0</v>
      </c>
    </row>
    <row r="45" spans="1:33">
      <c r="A45" t="str">
        <f>CONCATENATE("L",C4-1)</f>
        <v>L14</v>
      </c>
      <c r="B45" s="8" t="str">
        <f>'R14'!C6</f>
        <v>00111000011111001100110110101010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0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1</v>
      </c>
      <c r="F46" t="str">
        <f t="shared" si="20"/>
        <v>1</v>
      </c>
      <c r="G46" t="str">
        <f t="shared" si="20"/>
        <v>0</v>
      </c>
      <c r="H46" t="str">
        <f t="shared" si="20"/>
        <v>0</v>
      </c>
      <c r="I46" t="str">
        <f t="shared" si="20"/>
        <v>0</v>
      </c>
      <c r="J46" t="str">
        <f t="shared" si="20"/>
        <v>0</v>
      </c>
      <c r="K46" t="str">
        <f t="shared" si="20"/>
        <v>1</v>
      </c>
      <c r="L46" t="str">
        <f t="shared" si="20"/>
        <v>1</v>
      </c>
      <c r="M46" t="str">
        <f t="shared" si="20"/>
        <v>1</v>
      </c>
      <c r="N46" t="str">
        <f t="shared" si="20"/>
        <v>1</v>
      </c>
      <c r="O46" t="str">
        <f t="shared" si="20"/>
        <v>1</v>
      </c>
      <c r="P46" t="str">
        <f t="shared" si="20"/>
        <v>0</v>
      </c>
      <c r="Q46" t="str">
        <f t="shared" si="20"/>
        <v>0</v>
      </c>
      <c r="R46" t="str">
        <f t="shared" si="20"/>
        <v>1</v>
      </c>
      <c r="S46" t="str">
        <f t="shared" si="20"/>
        <v>1</v>
      </c>
      <c r="T46" t="str">
        <f t="shared" si="20"/>
        <v>0</v>
      </c>
      <c r="U46" t="str">
        <f t="shared" si="20"/>
        <v>0</v>
      </c>
      <c r="V46" t="str">
        <f t="shared" si="20"/>
        <v>1</v>
      </c>
      <c r="W46" t="str">
        <f t="shared" si="20"/>
        <v>1</v>
      </c>
      <c r="X46" t="str">
        <f t="shared" si="20"/>
        <v>0</v>
      </c>
      <c r="Y46" t="str">
        <f t="shared" si="20"/>
        <v>1</v>
      </c>
      <c r="Z46" t="str">
        <f t="shared" si="20"/>
        <v>1</v>
      </c>
      <c r="AA46" t="str">
        <f t="shared" si="20"/>
        <v>0</v>
      </c>
      <c r="AB46" t="str">
        <f t="shared" si="20"/>
        <v>1</v>
      </c>
      <c r="AC46" t="str">
        <f t="shared" si="20"/>
        <v>0</v>
      </c>
      <c r="AD46" t="str">
        <f t="shared" si="20"/>
        <v>1</v>
      </c>
      <c r="AE46" t="str">
        <f t="shared" si="20"/>
        <v>0</v>
      </c>
      <c r="AF46" t="str">
        <f t="shared" si="20"/>
        <v>1</v>
      </c>
      <c r="AG46" t="str">
        <f t="shared" si="20"/>
        <v>0</v>
      </c>
    </row>
    <row r="47" spans="1:33">
      <c r="A47" t="str">
        <f>CONCATENATE("R",C4)</f>
        <v>R15</v>
      </c>
      <c r="B47">
        <f>IF(B44=B46,0,1)</f>
        <v>1</v>
      </c>
      <c r="C47">
        <f t="shared" ref="C47:AG47" si="21">IF(C44=C46,0,1)</f>
        <v>1</v>
      </c>
      <c r="D47">
        <f t="shared" si="21"/>
        <v>0</v>
      </c>
      <c r="E47">
        <f t="shared" si="21"/>
        <v>0</v>
      </c>
      <c r="F47">
        <f t="shared" si="21"/>
        <v>1</v>
      </c>
      <c r="G47">
        <f t="shared" si="21"/>
        <v>1</v>
      </c>
      <c r="H47">
        <f t="shared" si="21"/>
        <v>1</v>
      </c>
      <c r="I47">
        <f t="shared" si="21"/>
        <v>1</v>
      </c>
      <c r="J47">
        <f t="shared" si="21"/>
        <v>0</v>
      </c>
      <c r="K47">
        <f t="shared" si="21"/>
        <v>0</v>
      </c>
      <c r="L47">
        <f t="shared" si="21"/>
        <v>1</v>
      </c>
      <c r="M47">
        <f t="shared" si="21"/>
        <v>0</v>
      </c>
      <c r="N47">
        <f t="shared" si="21"/>
        <v>0</v>
      </c>
      <c r="O47">
        <f t="shared" si="21"/>
        <v>1</v>
      </c>
      <c r="P47">
        <f t="shared" si="21"/>
        <v>1</v>
      </c>
      <c r="Q47">
        <f t="shared" si="21"/>
        <v>0</v>
      </c>
      <c r="R47">
        <f t="shared" si="21"/>
        <v>1</v>
      </c>
      <c r="S47">
        <f t="shared" si="21"/>
        <v>0</v>
      </c>
      <c r="T47">
        <f t="shared" si="21"/>
        <v>1</v>
      </c>
      <c r="U47">
        <f t="shared" si="21"/>
        <v>1</v>
      </c>
      <c r="V47">
        <f t="shared" si="21"/>
        <v>0</v>
      </c>
      <c r="W47">
        <f t="shared" si="21"/>
        <v>1</v>
      </c>
      <c r="X47">
        <f t="shared" si="21"/>
        <v>0</v>
      </c>
      <c r="Y47">
        <f t="shared" si="21"/>
        <v>0</v>
      </c>
      <c r="Z47">
        <f t="shared" si="21"/>
        <v>0</v>
      </c>
      <c r="AA47">
        <f t="shared" si="21"/>
        <v>1</v>
      </c>
      <c r="AB47">
        <f t="shared" si="21"/>
        <v>1</v>
      </c>
      <c r="AC47">
        <f t="shared" si="21"/>
        <v>1</v>
      </c>
      <c r="AD47">
        <f t="shared" si="21"/>
        <v>0</v>
      </c>
      <c r="AE47">
        <f t="shared" si="21"/>
        <v>0</v>
      </c>
      <c r="AF47">
        <f t="shared" si="21"/>
        <v>1</v>
      </c>
      <c r="AG47">
        <f t="shared" si="21"/>
        <v>0</v>
      </c>
    </row>
    <row r="48" spans="1:33">
      <c r="B48" t="str">
        <f>CONCATENATE(B47,C47,D47,E47)</f>
        <v>1100</v>
      </c>
      <c r="F48" t="str">
        <f>CONCATENATE(F47,G47,H47,I47)</f>
        <v>1111</v>
      </c>
      <c r="J48" t="str">
        <f>CONCATENATE(J47,K47,L47,M47)</f>
        <v>0010</v>
      </c>
      <c r="N48" t="str">
        <f>CONCATENATE(N47,O47,P47,Q47)</f>
        <v>0110</v>
      </c>
      <c r="R48" t="str">
        <f>CONCATENATE(R47,S47,T47,U47)</f>
        <v>1011</v>
      </c>
      <c r="V48" t="str">
        <f>CONCATENATE(V47,W47,X47,Y47)</f>
        <v>0100</v>
      </c>
      <c r="Z48" t="str">
        <f>CONCATENATE(Z47,AA47,AB47,AC47)</f>
        <v>0111</v>
      </c>
      <c r="AD48" t="str">
        <f>CONCATENATE(AD47,AE47,AF47,AG47)</f>
        <v>0010</v>
      </c>
    </row>
    <row r="49" spans="1:2">
      <c r="A49" t="str">
        <f>A47</f>
        <v>R15</v>
      </c>
      <c r="B49" t="str">
        <f>CONCATENATE(B48,F48,J48,N48,R48,V48,Z48,AD48)</f>
        <v>11001111001001101011010001110010</v>
      </c>
    </row>
    <row r="50" spans="1:2">
      <c r="A50" t="str">
        <f>CONCATENATE(A49," hex")</f>
        <v>R15 hex</v>
      </c>
      <c r="B50" t="str">
        <f>CONCATENATE(BIN2HEX(B48),BIN2HEX(F48),BIN2HEX(J48),BIN2HEX(N48),BIN2HEX(R48),BIN2HEX(V48),BIN2HEX(Z48),BIN2HEX(AD48))</f>
        <v>CF26B472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50"/>
  <sheetViews>
    <sheetView topLeftCell="A34" workbookViewId="0">
      <selection activeCell="T22" sqref="T22"/>
    </sheetView>
  </sheetViews>
  <sheetFormatPr defaultColWidth="4.28515625" defaultRowHeight="15"/>
  <cols>
    <col min="1" max="1" width="10.7109375" bestFit="1" customWidth="1"/>
    <col min="2" max="2" width="3.85546875" customWidth="1"/>
    <col min="9" max="9" width="5" bestFit="1" customWidth="1"/>
    <col min="13" max="13" width="5" bestFit="1" customWidth="1"/>
  </cols>
  <sheetData>
    <row r="1" spans="1:13">
      <c r="A1" t="s">
        <v>142</v>
      </c>
      <c r="B1" t="s">
        <v>13</v>
      </c>
      <c r="C1" t="s">
        <v>143</v>
      </c>
    </row>
    <row r="2" spans="1:13">
      <c r="A2" t="s">
        <v>144</v>
      </c>
      <c r="B2" t="s">
        <v>13</v>
      </c>
      <c r="C2" t="s">
        <v>145</v>
      </c>
    </row>
    <row r="4" spans="1:13">
      <c r="A4" t="s">
        <v>146</v>
      </c>
      <c r="B4" t="s">
        <v>13</v>
      </c>
      <c r="C4" s="8">
        <v>16</v>
      </c>
    </row>
    <row r="5" spans="1:13">
      <c r="A5" t="str">
        <f>CONCATENATE("K",C4)</f>
        <v>K16</v>
      </c>
      <c r="C5" s="8" t="str">
        <f>Kn!O17</f>
        <v>000110000001110001011101011101011100011001101101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t="str">
        <f>CONCATENATE("L",C4,"   =")</f>
        <v>L16   =</v>
      </c>
      <c r="B6" t="str">
        <f>CONCATENATE("R",(C4-1))</f>
        <v>R15</v>
      </c>
      <c r="C6" s="8" t="str">
        <f>'R15'!B49</f>
        <v>11001111001001101011010001110010</v>
      </c>
      <c r="D6" s="8"/>
      <c r="E6" s="8"/>
      <c r="F6" s="8"/>
      <c r="G6" s="8"/>
      <c r="H6" s="8"/>
      <c r="I6" s="8"/>
      <c r="J6" s="8"/>
    </row>
    <row r="7" spans="1:13">
      <c r="C7">
        <v>1</v>
      </c>
      <c r="D7">
        <v>2</v>
      </c>
      <c r="E7">
        <v>3</v>
      </c>
      <c r="F7">
        <v>4</v>
      </c>
      <c r="G7">
        <v>5</v>
      </c>
      <c r="H7">
        <v>6</v>
      </c>
    </row>
    <row r="8" spans="1:13">
      <c r="A8" t="str">
        <f>CONCATENATE("E", "(",B6,")")</f>
        <v>E(R15)</v>
      </c>
      <c r="B8">
        <v>1</v>
      </c>
      <c r="C8" s="1" t="str">
        <f t="shared" ref="C8:H15" si="0">MID($C$6,VLOOKUP($B8,E_BIT,C$7+1,FALSE),1)</f>
        <v>0</v>
      </c>
      <c r="D8" s="1" t="str">
        <f t="shared" si="0"/>
        <v>1</v>
      </c>
      <c r="E8" s="1" t="str">
        <f t="shared" si="0"/>
        <v>1</v>
      </c>
      <c r="F8" s="1" t="str">
        <f t="shared" si="0"/>
        <v>0</v>
      </c>
      <c r="G8" s="1" t="str">
        <f t="shared" si="0"/>
        <v>0</v>
      </c>
      <c r="H8" s="1" t="str">
        <f t="shared" si="0"/>
        <v>1</v>
      </c>
      <c r="I8" s="6" t="str">
        <f>CONCATENATE(C8,D8,E8,F8,G8,H8)</f>
        <v>011001</v>
      </c>
    </row>
    <row r="9" spans="1:13">
      <c r="B9">
        <v>2</v>
      </c>
      <c r="C9" s="1" t="str">
        <f t="shared" si="0"/>
        <v>0</v>
      </c>
      <c r="D9" s="1" t="str">
        <f t="shared" si="0"/>
        <v>1</v>
      </c>
      <c r="E9" s="1" t="str">
        <f t="shared" si="0"/>
        <v>1</v>
      </c>
      <c r="F9" s="1" t="str">
        <f t="shared" si="0"/>
        <v>1</v>
      </c>
      <c r="G9" s="1" t="str">
        <f t="shared" si="0"/>
        <v>1</v>
      </c>
      <c r="H9" s="1" t="str">
        <f t="shared" si="0"/>
        <v>0</v>
      </c>
      <c r="I9" s="6" t="str">
        <f t="shared" ref="I9:I15" si="1">CONCATENATE(C9,D9,E9,F9,G9,H9)</f>
        <v>011110</v>
      </c>
    </row>
    <row r="10" spans="1:13">
      <c r="B10">
        <v>3</v>
      </c>
      <c r="C10" s="1" t="str">
        <f t="shared" si="0"/>
        <v>1</v>
      </c>
      <c r="D10" s="1" t="str">
        <f t="shared" si="0"/>
        <v>0</v>
      </c>
      <c r="E10" s="1" t="str">
        <f t="shared" si="0"/>
        <v>0</v>
      </c>
      <c r="F10" s="1" t="str">
        <f t="shared" si="0"/>
        <v>1</v>
      </c>
      <c r="G10" s="1" t="str">
        <f t="shared" si="0"/>
        <v>0</v>
      </c>
      <c r="H10" s="1" t="str">
        <f t="shared" si="0"/>
        <v>0</v>
      </c>
      <c r="I10" s="6" t="str">
        <f t="shared" si="1"/>
        <v>100100</v>
      </c>
    </row>
    <row r="11" spans="1:13">
      <c r="B11">
        <v>4</v>
      </c>
      <c r="C11" s="1" t="str">
        <f t="shared" si="0"/>
        <v>0</v>
      </c>
      <c r="D11" s="1" t="str">
        <f t="shared" si="0"/>
        <v>0</v>
      </c>
      <c r="E11" s="1" t="str">
        <f t="shared" si="0"/>
        <v>1</v>
      </c>
      <c r="F11" s="1" t="str">
        <f t="shared" si="0"/>
        <v>1</v>
      </c>
      <c r="G11" s="1" t="str">
        <f t="shared" si="0"/>
        <v>0</v>
      </c>
      <c r="H11" s="1" t="str">
        <f t="shared" si="0"/>
        <v>1</v>
      </c>
      <c r="I11" s="6" t="str">
        <f t="shared" si="1"/>
        <v>001101</v>
      </c>
    </row>
    <row r="12" spans="1:13">
      <c r="B12">
        <v>5</v>
      </c>
      <c r="C12" s="1" t="str">
        <f t="shared" si="0"/>
        <v>0</v>
      </c>
      <c r="D12" s="1" t="str">
        <f t="shared" si="0"/>
        <v>1</v>
      </c>
      <c r="E12" s="1" t="str">
        <f t="shared" si="0"/>
        <v>0</v>
      </c>
      <c r="F12" s="1" t="str">
        <f t="shared" si="0"/>
        <v>1</v>
      </c>
      <c r="G12" s="1" t="str">
        <f t="shared" si="0"/>
        <v>1</v>
      </c>
      <c r="H12" s="1" t="str">
        <f t="shared" si="0"/>
        <v>0</v>
      </c>
      <c r="I12" s="6" t="str">
        <f t="shared" si="1"/>
        <v>010110</v>
      </c>
    </row>
    <row r="13" spans="1:13">
      <c r="B13">
        <v>6</v>
      </c>
      <c r="C13" s="1" t="str">
        <f t="shared" si="0"/>
        <v>1</v>
      </c>
      <c r="D13" s="1" t="str">
        <f t="shared" si="0"/>
        <v>0</v>
      </c>
      <c r="E13" s="1" t="str">
        <f t="shared" si="0"/>
        <v>1</v>
      </c>
      <c r="F13" s="1" t="str">
        <f t="shared" si="0"/>
        <v>0</v>
      </c>
      <c r="G13" s="1" t="str">
        <f t="shared" si="0"/>
        <v>0</v>
      </c>
      <c r="H13" s="1" t="str">
        <f t="shared" si="0"/>
        <v>0</v>
      </c>
      <c r="I13" s="6" t="str">
        <f t="shared" si="1"/>
        <v>101000</v>
      </c>
    </row>
    <row r="14" spans="1:13">
      <c r="B14">
        <v>7</v>
      </c>
      <c r="C14" s="1" t="str">
        <f t="shared" si="0"/>
        <v>0</v>
      </c>
      <c r="D14" s="1" t="str">
        <f t="shared" si="0"/>
        <v>0</v>
      </c>
      <c r="E14" s="1" t="str">
        <f t="shared" si="0"/>
        <v>1</v>
      </c>
      <c r="F14" s="1" t="str">
        <f t="shared" si="0"/>
        <v>1</v>
      </c>
      <c r="G14" s="1" t="str">
        <f t="shared" si="0"/>
        <v>1</v>
      </c>
      <c r="H14" s="1" t="str">
        <f t="shared" si="0"/>
        <v>0</v>
      </c>
      <c r="I14" s="6" t="str">
        <f t="shared" si="1"/>
        <v>001110</v>
      </c>
    </row>
    <row r="15" spans="1:13">
      <c r="B15">
        <v>8</v>
      </c>
      <c r="C15" s="1" t="str">
        <f t="shared" si="0"/>
        <v>1</v>
      </c>
      <c r="D15" s="1" t="str">
        <f t="shared" si="0"/>
        <v>0</v>
      </c>
      <c r="E15" s="1" t="str">
        <f t="shared" si="0"/>
        <v>0</v>
      </c>
      <c r="F15" s="1" t="str">
        <f t="shared" si="0"/>
        <v>1</v>
      </c>
      <c r="G15" s="1" t="str">
        <f t="shared" si="0"/>
        <v>0</v>
      </c>
      <c r="H15" s="1" t="str">
        <f t="shared" si="0"/>
        <v>1</v>
      </c>
      <c r="I15" s="6" t="str">
        <f t="shared" si="1"/>
        <v>100101</v>
      </c>
    </row>
    <row r="16" spans="1:13">
      <c r="A16" t="str">
        <f>A8</f>
        <v>E(R15)</v>
      </c>
      <c r="B16" t="str">
        <f>CONCATENATE(I8,I9,I10,I11,I12,I13,I14,I15)</f>
        <v>011001011110100100001101010110101000001110100101</v>
      </c>
    </row>
    <row r="18" spans="1:49">
      <c r="A18" s="7" t="s">
        <v>149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</row>
    <row r="19" spans="1:49">
      <c r="A19" t="str">
        <f>A5</f>
        <v>K16</v>
      </c>
      <c r="B19" t="str">
        <f>MID($C$5,B18,1)</f>
        <v>0</v>
      </c>
      <c r="C19" t="str">
        <f t="shared" ref="C19:AW19" si="2">MID($C$5,C18,1)</f>
        <v>0</v>
      </c>
      <c r="D19" t="str">
        <f t="shared" si="2"/>
        <v>0</v>
      </c>
      <c r="E19" t="str">
        <f t="shared" si="2"/>
        <v>1</v>
      </c>
      <c r="F19" t="str">
        <f t="shared" si="2"/>
        <v>1</v>
      </c>
      <c r="G19" t="str">
        <f t="shared" si="2"/>
        <v>0</v>
      </c>
      <c r="H19" t="str">
        <f t="shared" si="2"/>
        <v>0</v>
      </c>
      <c r="I19" t="str">
        <f t="shared" si="2"/>
        <v>0</v>
      </c>
      <c r="J19" t="str">
        <f t="shared" si="2"/>
        <v>0</v>
      </c>
      <c r="K19" t="str">
        <f t="shared" si="2"/>
        <v>0</v>
      </c>
      <c r="L19" t="str">
        <f t="shared" si="2"/>
        <v>0</v>
      </c>
      <c r="M19" t="str">
        <f t="shared" si="2"/>
        <v>1</v>
      </c>
      <c r="N19" t="str">
        <f t="shared" si="2"/>
        <v>1</v>
      </c>
      <c r="O19" t="str">
        <f t="shared" si="2"/>
        <v>1</v>
      </c>
      <c r="P19" t="str">
        <f t="shared" si="2"/>
        <v>0</v>
      </c>
      <c r="Q19" t="str">
        <f t="shared" si="2"/>
        <v>0</v>
      </c>
      <c r="R19" t="str">
        <f t="shared" si="2"/>
        <v>0</v>
      </c>
      <c r="S19" t="str">
        <f t="shared" si="2"/>
        <v>1</v>
      </c>
      <c r="T19" t="str">
        <f t="shared" si="2"/>
        <v>0</v>
      </c>
      <c r="U19" t="str">
        <f t="shared" si="2"/>
        <v>1</v>
      </c>
      <c r="V19" t="str">
        <f t="shared" si="2"/>
        <v>1</v>
      </c>
      <c r="W19" t="str">
        <f t="shared" si="2"/>
        <v>1</v>
      </c>
      <c r="X19" t="str">
        <f t="shared" si="2"/>
        <v>0</v>
      </c>
      <c r="Y19" t="str">
        <f t="shared" si="2"/>
        <v>1</v>
      </c>
      <c r="Z19" t="str">
        <f t="shared" si="2"/>
        <v>0</v>
      </c>
      <c r="AA19" t="str">
        <f t="shared" si="2"/>
        <v>1</v>
      </c>
      <c r="AB19" t="str">
        <f t="shared" si="2"/>
        <v>1</v>
      </c>
      <c r="AC19" t="str">
        <f t="shared" si="2"/>
        <v>1</v>
      </c>
      <c r="AD19" t="str">
        <f t="shared" si="2"/>
        <v>0</v>
      </c>
      <c r="AE19" t="str">
        <f t="shared" si="2"/>
        <v>1</v>
      </c>
      <c r="AF19" t="str">
        <f t="shared" si="2"/>
        <v>0</v>
      </c>
      <c r="AG19" t="str">
        <f t="shared" si="2"/>
        <v>1</v>
      </c>
      <c r="AH19" t="str">
        <f t="shared" si="2"/>
        <v>1</v>
      </c>
      <c r="AI19" t="str">
        <f t="shared" si="2"/>
        <v>1</v>
      </c>
      <c r="AJ19" t="str">
        <f t="shared" si="2"/>
        <v>0</v>
      </c>
      <c r="AK19" t="str">
        <f t="shared" si="2"/>
        <v>0</v>
      </c>
      <c r="AL19" t="str">
        <f t="shared" si="2"/>
        <v>0</v>
      </c>
      <c r="AM19" t="str">
        <f t="shared" si="2"/>
        <v>1</v>
      </c>
      <c r="AN19" t="str">
        <f t="shared" si="2"/>
        <v>1</v>
      </c>
      <c r="AO19" t="str">
        <f t="shared" si="2"/>
        <v>0</v>
      </c>
      <c r="AP19" t="str">
        <f t="shared" si="2"/>
        <v>0</v>
      </c>
      <c r="AQ19" t="str">
        <f t="shared" si="2"/>
        <v>1</v>
      </c>
      <c r="AR19" t="str">
        <f t="shared" si="2"/>
        <v>1</v>
      </c>
      <c r="AS19" t="str">
        <f t="shared" si="2"/>
        <v>0</v>
      </c>
      <c r="AT19" t="str">
        <f t="shared" si="2"/>
        <v>1</v>
      </c>
      <c r="AU19" t="str">
        <f t="shared" si="2"/>
        <v>1</v>
      </c>
      <c r="AV19" t="str">
        <f t="shared" si="2"/>
        <v>0</v>
      </c>
      <c r="AW19" t="str">
        <f t="shared" si="2"/>
        <v>1</v>
      </c>
    </row>
    <row r="20" spans="1:49">
      <c r="A20" t="str">
        <f>A16</f>
        <v>E(R15)</v>
      </c>
      <c r="B20" t="str">
        <f>MID($B$16,B18,1)</f>
        <v>0</v>
      </c>
      <c r="C20" t="str">
        <f t="shared" ref="C20:AW20" si="3">MID($B$16,C18,1)</f>
        <v>1</v>
      </c>
      <c r="D20" t="str">
        <f t="shared" si="3"/>
        <v>1</v>
      </c>
      <c r="E20" t="str">
        <f t="shared" si="3"/>
        <v>0</v>
      </c>
      <c r="F20" t="str">
        <f t="shared" si="3"/>
        <v>0</v>
      </c>
      <c r="G20" t="str">
        <f t="shared" si="3"/>
        <v>1</v>
      </c>
      <c r="H20" t="str">
        <f t="shared" si="3"/>
        <v>0</v>
      </c>
      <c r="I20" t="str">
        <f t="shared" si="3"/>
        <v>1</v>
      </c>
      <c r="J20" t="str">
        <f t="shared" si="3"/>
        <v>1</v>
      </c>
      <c r="K20" t="str">
        <f t="shared" si="3"/>
        <v>1</v>
      </c>
      <c r="L20" t="str">
        <f t="shared" si="3"/>
        <v>1</v>
      </c>
      <c r="M20" t="str">
        <f t="shared" si="3"/>
        <v>0</v>
      </c>
      <c r="N20" t="str">
        <f t="shared" si="3"/>
        <v>1</v>
      </c>
      <c r="O20" t="str">
        <f t="shared" si="3"/>
        <v>0</v>
      </c>
      <c r="P20" t="str">
        <f t="shared" si="3"/>
        <v>0</v>
      </c>
      <c r="Q20" t="str">
        <f t="shared" si="3"/>
        <v>1</v>
      </c>
      <c r="R20" t="str">
        <f t="shared" si="3"/>
        <v>0</v>
      </c>
      <c r="S20" t="str">
        <f t="shared" si="3"/>
        <v>0</v>
      </c>
      <c r="T20" t="str">
        <f t="shared" si="3"/>
        <v>0</v>
      </c>
      <c r="U20" t="str">
        <f t="shared" si="3"/>
        <v>0</v>
      </c>
      <c r="V20" t="str">
        <f t="shared" si="3"/>
        <v>1</v>
      </c>
      <c r="W20" t="str">
        <f t="shared" si="3"/>
        <v>1</v>
      </c>
      <c r="X20" t="str">
        <f t="shared" si="3"/>
        <v>0</v>
      </c>
      <c r="Y20" t="str">
        <f t="shared" si="3"/>
        <v>1</v>
      </c>
      <c r="Z20" t="str">
        <f t="shared" si="3"/>
        <v>0</v>
      </c>
      <c r="AA20" t="str">
        <f t="shared" si="3"/>
        <v>1</v>
      </c>
      <c r="AB20" t="str">
        <f t="shared" si="3"/>
        <v>0</v>
      </c>
      <c r="AC20" t="str">
        <f t="shared" si="3"/>
        <v>1</v>
      </c>
      <c r="AD20" t="str">
        <f t="shared" si="3"/>
        <v>1</v>
      </c>
      <c r="AE20" t="str">
        <f t="shared" si="3"/>
        <v>0</v>
      </c>
      <c r="AF20" t="str">
        <f t="shared" si="3"/>
        <v>1</v>
      </c>
      <c r="AG20" t="str">
        <f t="shared" si="3"/>
        <v>0</v>
      </c>
      <c r="AH20" t="str">
        <f t="shared" si="3"/>
        <v>1</v>
      </c>
      <c r="AI20" t="str">
        <f t="shared" si="3"/>
        <v>0</v>
      </c>
      <c r="AJ20" t="str">
        <f t="shared" si="3"/>
        <v>0</v>
      </c>
      <c r="AK20" t="str">
        <f t="shared" si="3"/>
        <v>0</v>
      </c>
      <c r="AL20" t="str">
        <f t="shared" si="3"/>
        <v>0</v>
      </c>
      <c r="AM20" t="str">
        <f t="shared" si="3"/>
        <v>0</v>
      </c>
      <c r="AN20" t="str">
        <f t="shared" si="3"/>
        <v>1</v>
      </c>
      <c r="AO20" t="str">
        <f t="shared" si="3"/>
        <v>1</v>
      </c>
      <c r="AP20" t="str">
        <f t="shared" si="3"/>
        <v>1</v>
      </c>
      <c r="AQ20" t="str">
        <f t="shared" si="3"/>
        <v>0</v>
      </c>
      <c r="AR20" t="str">
        <f t="shared" si="3"/>
        <v>1</v>
      </c>
      <c r="AS20" t="str">
        <f t="shared" si="3"/>
        <v>0</v>
      </c>
      <c r="AT20" t="str">
        <f t="shared" si="3"/>
        <v>0</v>
      </c>
      <c r="AU20" t="str">
        <f t="shared" si="3"/>
        <v>1</v>
      </c>
      <c r="AV20" t="str">
        <f t="shared" si="3"/>
        <v>0</v>
      </c>
      <c r="AW20" t="str">
        <f t="shared" si="3"/>
        <v>1</v>
      </c>
    </row>
    <row r="21" spans="1:49">
      <c r="A21" s="6" t="str">
        <f>CONCATENATE(A19," + ",A20)</f>
        <v>K16 + E(R15)</v>
      </c>
      <c r="B21" s="1">
        <f>IF(B19=B20,0,1)</f>
        <v>0</v>
      </c>
      <c r="C21" s="1">
        <f t="shared" ref="C21:AW21" si="4">IF(C19=C20,0,1)</f>
        <v>1</v>
      </c>
      <c r="D21" s="1">
        <f t="shared" si="4"/>
        <v>1</v>
      </c>
      <c r="E21" s="1">
        <f t="shared" si="4"/>
        <v>1</v>
      </c>
      <c r="F21" s="1">
        <f t="shared" si="4"/>
        <v>1</v>
      </c>
      <c r="G21" s="1">
        <f t="shared" si="4"/>
        <v>1</v>
      </c>
      <c r="H21" s="1">
        <f t="shared" si="4"/>
        <v>0</v>
      </c>
      <c r="I21" s="1">
        <f t="shared" si="4"/>
        <v>1</v>
      </c>
      <c r="J21" s="1">
        <f t="shared" si="4"/>
        <v>1</v>
      </c>
      <c r="K21" s="1">
        <f t="shared" si="4"/>
        <v>1</v>
      </c>
      <c r="L21" s="1">
        <f t="shared" si="4"/>
        <v>1</v>
      </c>
      <c r="M21" s="1">
        <f t="shared" si="4"/>
        <v>1</v>
      </c>
      <c r="N21" s="1">
        <f t="shared" si="4"/>
        <v>0</v>
      </c>
      <c r="O21" s="1">
        <f t="shared" si="4"/>
        <v>1</v>
      </c>
      <c r="P21" s="1">
        <f t="shared" si="4"/>
        <v>0</v>
      </c>
      <c r="Q21" s="1">
        <f t="shared" si="4"/>
        <v>1</v>
      </c>
      <c r="R21" s="1">
        <f t="shared" si="4"/>
        <v>0</v>
      </c>
      <c r="S21" s="1">
        <f t="shared" si="4"/>
        <v>1</v>
      </c>
      <c r="T21" s="1">
        <f t="shared" si="4"/>
        <v>0</v>
      </c>
      <c r="U21" s="1">
        <f t="shared" si="4"/>
        <v>1</v>
      </c>
      <c r="V21" s="1">
        <f t="shared" si="4"/>
        <v>0</v>
      </c>
      <c r="W21" s="1">
        <f t="shared" si="4"/>
        <v>0</v>
      </c>
      <c r="X21" s="1">
        <f t="shared" si="4"/>
        <v>0</v>
      </c>
      <c r="Y21" s="1">
        <f t="shared" si="4"/>
        <v>0</v>
      </c>
      <c r="Z21" s="1">
        <f t="shared" si="4"/>
        <v>0</v>
      </c>
      <c r="AA21" s="1">
        <f t="shared" si="4"/>
        <v>0</v>
      </c>
      <c r="AB21" s="1">
        <f t="shared" si="4"/>
        <v>1</v>
      </c>
      <c r="AC21" s="1">
        <f t="shared" si="4"/>
        <v>0</v>
      </c>
      <c r="AD21" s="1">
        <f t="shared" si="4"/>
        <v>1</v>
      </c>
      <c r="AE21" s="1">
        <f t="shared" si="4"/>
        <v>1</v>
      </c>
      <c r="AF21" s="1">
        <f t="shared" si="4"/>
        <v>1</v>
      </c>
      <c r="AG21" s="1">
        <f t="shared" si="4"/>
        <v>1</v>
      </c>
      <c r="AH21" s="1">
        <f t="shared" si="4"/>
        <v>0</v>
      </c>
      <c r="AI21" s="1">
        <f t="shared" si="4"/>
        <v>1</v>
      </c>
      <c r="AJ21" s="1">
        <f t="shared" si="4"/>
        <v>0</v>
      </c>
      <c r="AK21" s="1">
        <f t="shared" si="4"/>
        <v>0</v>
      </c>
      <c r="AL21" s="1">
        <f t="shared" si="4"/>
        <v>0</v>
      </c>
      <c r="AM21" s="1">
        <f t="shared" si="4"/>
        <v>1</v>
      </c>
      <c r="AN21" s="1">
        <f t="shared" si="4"/>
        <v>0</v>
      </c>
      <c r="AO21" s="1">
        <f t="shared" si="4"/>
        <v>1</v>
      </c>
      <c r="AP21" s="1">
        <f t="shared" si="4"/>
        <v>1</v>
      </c>
      <c r="AQ21" s="1">
        <f t="shared" si="4"/>
        <v>1</v>
      </c>
      <c r="AR21" s="1">
        <f t="shared" si="4"/>
        <v>0</v>
      </c>
      <c r="AS21" s="1">
        <f t="shared" si="4"/>
        <v>0</v>
      </c>
      <c r="AT21" s="1">
        <f t="shared" si="4"/>
        <v>1</v>
      </c>
      <c r="AU21" s="1">
        <f t="shared" si="4"/>
        <v>0</v>
      </c>
      <c r="AV21" s="1">
        <f t="shared" si="4"/>
        <v>0</v>
      </c>
      <c r="AW21" s="1">
        <f t="shared" si="4"/>
        <v>0</v>
      </c>
    </row>
    <row r="22" spans="1:49"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16</v>
      </c>
      <c r="I22">
        <v>2345</v>
      </c>
      <c r="J22" t="s">
        <v>151</v>
      </c>
      <c r="K22" t="s">
        <v>152</v>
      </c>
      <c r="L22" t="s">
        <v>153</v>
      </c>
    </row>
    <row r="23" spans="1:49">
      <c r="A23" t="s">
        <v>154</v>
      </c>
      <c r="B23">
        <f>B21</f>
        <v>0</v>
      </c>
      <c r="C23">
        <f t="shared" ref="C23:G23" si="5">C21</f>
        <v>1</v>
      </c>
      <c r="D23">
        <f t="shared" si="5"/>
        <v>1</v>
      </c>
      <c r="E23">
        <f t="shared" si="5"/>
        <v>1</v>
      </c>
      <c r="F23">
        <f t="shared" si="5"/>
        <v>1</v>
      </c>
      <c r="G23">
        <f t="shared" si="5"/>
        <v>1</v>
      </c>
      <c r="H23" t="str">
        <f>CONCATENATE(B23,G23)</f>
        <v>01</v>
      </c>
      <c r="I23" t="str">
        <f>CONCATENATE(C23,D23,E23,F23)</f>
        <v>1111</v>
      </c>
      <c r="J23">
        <f>BIN2DEC(H23)</f>
        <v>1</v>
      </c>
      <c r="K23">
        <f>BIN2DEC(I23)</f>
        <v>15</v>
      </c>
      <c r="L23">
        <f>VLOOKUP(J23,S1_BOX,K23+2,FALSE)</f>
        <v>8</v>
      </c>
      <c r="M23" t="str">
        <f>DEC2BIN(L23,4)</f>
        <v>1000</v>
      </c>
    </row>
    <row r="24" spans="1:49">
      <c r="A24" t="s">
        <v>155</v>
      </c>
      <c r="B24">
        <f>H21</f>
        <v>0</v>
      </c>
      <c r="C24">
        <f t="shared" ref="C24:G24" si="6">I21</f>
        <v>1</v>
      </c>
      <c r="D24">
        <f t="shared" si="6"/>
        <v>1</v>
      </c>
      <c r="E24">
        <f t="shared" si="6"/>
        <v>1</v>
      </c>
      <c r="F24">
        <f t="shared" si="6"/>
        <v>1</v>
      </c>
      <c r="G24">
        <f t="shared" si="6"/>
        <v>1</v>
      </c>
      <c r="H24" t="str">
        <f t="shared" ref="H24:H30" si="7">CONCATENATE(B24,G24)</f>
        <v>01</v>
      </c>
      <c r="I24" t="str">
        <f t="shared" ref="I24:I30" si="8">CONCATENATE(C24,D24,E24,F24)</f>
        <v>1111</v>
      </c>
      <c r="J24">
        <f t="shared" ref="J24:K30" si="9">BIN2DEC(H24)</f>
        <v>1</v>
      </c>
      <c r="K24">
        <f t="shared" si="9"/>
        <v>15</v>
      </c>
      <c r="L24">
        <f>VLOOKUP(J24,S2_BOX,K24+2,FALSE)</f>
        <v>5</v>
      </c>
      <c r="M24" t="str">
        <f t="shared" ref="M24:M30" si="10">DEC2BIN(L24,4)</f>
        <v>0101</v>
      </c>
    </row>
    <row r="25" spans="1:49">
      <c r="A25" t="s">
        <v>156</v>
      </c>
      <c r="B25">
        <f>N21</f>
        <v>0</v>
      </c>
      <c r="C25">
        <f t="shared" ref="C25:G25" si="11">O21</f>
        <v>1</v>
      </c>
      <c r="D25">
        <f t="shared" si="11"/>
        <v>0</v>
      </c>
      <c r="E25">
        <f t="shared" si="11"/>
        <v>1</v>
      </c>
      <c r="F25">
        <f t="shared" si="11"/>
        <v>0</v>
      </c>
      <c r="G25">
        <f t="shared" si="11"/>
        <v>1</v>
      </c>
      <c r="H25" t="str">
        <f t="shared" si="7"/>
        <v>01</v>
      </c>
      <c r="I25" t="str">
        <f t="shared" si="8"/>
        <v>1010</v>
      </c>
      <c r="J25">
        <f t="shared" si="9"/>
        <v>1</v>
      </c>
      <c r="K25">
        <f t="shared" si="9"/>
        <v>10</v>
      </c>
      <c r="L25">
        <f>VLOOKUP(J25,S3_BOX,K25+2,FALSE)</f>
        <v>5</v>
      </c>
      <c r="M25" t="str">
        <f t="shared" si="10"/>
        <v>0101</v>
      </c>
    </row>
    <row r="26" spans="1:49">
      <c r="A26" t="s">
        <v>157</v>
      </c>
      <c r="B26">
        <f>T21</f>
        <v>0</v>
      </c>
      <c r="C26">
        <f t="shared" ref="C26:G26" si="12">U21</f>
        <v>1</v>
      </c>
      <c r="D26">
        <f t="shared" si="12"/>
        <v>0</v>
      </c>
      <c r="E26">
        <f t="shared" si="12"/>
        <v>0</v>
      </c>
      <c r="F26">
        <f t="shared" si="12"/>
        <v>0</v>
      </c>
      <c r="G26">
        <f t="shared" si="12"/>
        <v>0</v>
      </c>
      <c r="H26" t="str">
        <f t="shared" si="7"/>
        <v>00</v>
      </c>
      <c r="I26" t="str">
        <f t="shared" si="8"/>
        <v>1000</v>
      </c>
      <c r="J26">
        <f t="shared" si="9"/>
        <v>0</v>
      </c>
      <c r="K26">
        <f t="shared" si="9"/>
        <v>8</v>
      </c>
      <c r="L26">
        <f>VLOOKUP(J26,S4_BOX,K26+2,FALSE)</f>
        <v>1</v>
      </c>
      <c r="M26" t="str">
        <f t="shared" si="10"/>
        <v>0001</v>
      </c>
    </row>
    <row r="27" spans="1:49">
      <c r="A27" t="s">
        <v>158</v>
      </c>
      <c r="B27">
        <f>Z21</f>
        <v>0</v>
      </c>
      <c r="C27">
        <f t="shared" ref="C27:G27" si="13">AA21</f>
        <v>0</v>
      </c>
      <c r="D27">
        <f t="shared" si="13"/>
        <v>1</v>
      </c>
      <c r="E27">
        <f t="shared" si="13"/>
        <v>0</v>
      </c>
      <c r="F27">
        <f t="shared" si="13"/>
        <v>1</v>
      </c>
      <c r="G27">
        <f t="shared" si="13"/>
        <v>1</v>
      </c>
      <c r="H27" t="str">
        <f t="shared" si="7"/>
        <v>01</v>
      </c>
      <c r="I27" t="str">
        <f t="shared" si="8"/>
        <v>0101</v>
      </c>
      <c r="J27">
        <f t="shared" si="9"/>
        <v>1</v>
      </c>
      <c r="K27">
        <f t="shared" si="9"/>
        <v>5</v>
      </c>
      <c r="L27">
        <f>VLOOKUP(J27,S5_BOX,K27+2,FALSE)</f>
        <v>7</v>
      </c>
      <c r="M27" t="str">
        <f t="shared" si="10"/>
        <v>0111</v>
      </c>
    </row>
    <row r="28" spans="1:49">
      <c r="A28" t="s">
        <v>159</v>
      </c>
      <c r="B28">
        <f>AF21</f>
        <v>1</v>
      </c>
      <c r="C28">
        <f t="shared" ref="C28:G28" si="14">AG21</f>
        <v>1</v>
      </c>
      <c r="D28">
        <f t="shared" si="14"/>
        <v>0</v>
      </c>
      <c r="E28">
        <f t="shared" si="14"/>
        <v>1</v>
      </c>
      <c r="F28">
        <f t="shared" si="14"/>
        <v>0</v>
      </c>
      <c r="G28">
        <f t="shared" si="14"/>
        <v>0</v>
      </c>
      <c r="H28" t="str">
        <f t="shared" si="7"/>
        <v>10</v>
      </c>
      <c r="I28" t="str">
        <f t="shared" si="8"/>
        <v>1010</v>
      </c>
      <c r="J28">
        <f t="shared" si="9"/>
        <v>2</v>
      </c>
      <c r="K28">
        <f t="shared" si="9"/>
        <v>10</v>
      </c>
      <c r="L28">
        <f>VLOOKUP(J28,S6_BOX,K28+2,FALSE)</f>
        <v>4</v>
      </c>
      <c r="M28" t="str">
        <f t="shared" si="10"/>
        <v>0100</v>
      </c>
    </row>
    <row r="29" spans="1:49">
      <c r="A29" t="s">
        <v>160</v>
      </c>
      <c r="B29">
        <f>AL21</f>
        <v>0</v>
      </c>
      <c r="C29">
        <f t="shared" ref="C29:G29" si="15">AM21</f>
        <v>1</v>
      </c>
      <c r="D29">
        <f t="shared" si="15"/>
        <v>0</v>
      </c>
      <c r="E29">
        <f t="shared" si="15"/>
        <v>1</v>
      </c>
      <c r="F29">
        <f t="shared" si="15"/>
        <v>1</v>
      </c>
      <c r="G29">
        <f t="shared" si="15"/>
        <v>1</v>
      </c>
      <c r="H29" t="str">
        <f t="shared" si="7"/>
        <v>01</v>
      </c>
      <c r="I29" t="str">
        <f t="shared" si="8"/>
        <v>1011</v>
      </c>
      <c r="J29">
        <f t="shared" si="9"/>
        <v>1</v>
      </c>
      <c r="K29">
        <f t="shared" si="9"/>
        <v>11</v>
      </c>
      <c r="L29">
        <f>VLOOKUP(J29,S7_BOX,K29+2,FALSE)</f>
        <v>12</v>
      </c>
      <c r="M29" t="str">
        <f t="shared" si="10"/>
        <v>1100</v>
      </c>
    </row>
    <row r="30" spans="1:49">
      <c r="A30" t="s">
        <v>161</v>
      </c>
      <c r="B30">
        <f>AR21</f>
        <v>0</v>
      </c>
      <c r="C30">
        <f t="shared" ref="C30:G30" si="16">AS21</f>
        <v>0</v>
      </c>
      <c r="D30">
        <f t="shared" si="16"/>
        <v>1</v>
      </c>
      <c r="E30">
        <f t="shared" si="16"/>
        <v>0</v>
      </c>
      <c r="F30">
        <f t="shared" si="16"/>
        <v>0</v>
      </c>
      <c r="G30">
        <f t="shared" si="16"/>
        <v>0</v>
      </c>
      <c r="H30" t="str">
        <f t="shared" si="7"/>
        <v>00</v>
      </c>
      <c r="I30" t="str">
        <f t="shared" si="8"/>
        <v>0100</v>
      </c>
      <c r="J30">
        <f t="shared" si="9"/>
        <v>0</v>
      </c>
      <c r="K30">
        <f t="shared" si="9"/>
        <v>4</v>
      </c>
      <c r="L30">
        <f>VLOOKUP(J30,S8_BOX,K30+2,FALSE)</f>
        <v>6</v>
      </c>
      <c r="M30" t="str">
        <f t="shared" si="10"/>
        <v>0110</v>
      </c>
    </row>
    <row r="31" spans="1:49">
      <c r="A31" t="s">
        <v>162</v>
      </c>
      <c r="B31" t="str">
        <f>CONCATENATE(M23,M24,M25,M26,M27,M28,M29,M30)</f>
        <v>10000101010100010111010011000110</v>
      </c>
    </row>
    <row r="33" spans="1:33">
      <c r="A33" t="s">
        <v>163</v>
      </c>
      <c r="C33">
        <v>1</v>
      </c>
      <c r="D33">
        <v>2</v>
      </c>
      <c r="E33">
        <v>3</v>
      </c>
      <c r="F33">
        <v>4</v>
      </c>
    </row>
    <row r="34" spans="1:33">
      <c r="B34">
        <v>1</v>
      </c>
      <c r="C34" t="str">
        <f t="shared" ref="C34:F41" si="17">MID($B$31,VLOOKUP($B34,P,C$33+1,FALSE),1)</f>
        <v>1</v>
      </c>
      <c r="D34" t="str">
        <f t="shared" si="17"/>
        <v>0</v>
      </c>
      <c r="E34" t="str">
        <f t="shared" si="17"/>
        <v>1</v>
      </c>
      <c r="F34" t="str">
        <f t="shared" si="17"/>
        <v>0</v>
      </c>
      <c r="G34" t="str">
        <f>CONCATENATE(C34,D34,E34,F34)</f>
        <v>1010</v>
      </c>
    </row>
    <row r="35" spans="1:33">
      <c r="B35">
        <v>2</v>
      </c>
      <c r="C35" t="str">
        <f t="shared" si="17"/>
        <v>0</v>
      </c>
      <c r="D35" t="str">
        <f t="shared" si="17"/>
        <v>1</v>
      </c>
      <c r="E35" t="str">
        <f t="shared" si="17"/>
        <v>0</v>
      </c>
      <c r="F35" t="str">
        <f t="shared" si="17"/>
        <v>0</v>
      </c>
      <c r="G35" t="str">
        <f t="shared" ref="G35:G41" si="18">CONCATENATE(C35,D35,E35,F35)</f>
        <v>0100</v>
      </c>
    </row>
    <row r="36" spans="1:33">
      <c r="B36">
        <v>3</v>
      </c>
      <c r="C36" t="str">
        <f t="shared" si="17"/>
        <v>1</v>
      </c>
      <c r="D36" t="str">
        <f t="shared" si="17"/>
        <v>0</v>
      </c>
      <c r="E36" t="str">
        <f t="shared" si="17"/>
        <v>0</v>
      </c>
      <c r="F36" t="str">
        <f t="shared" si="17"/>
        <v>1</v>
      </c>
      <c r="G36" t="str">
        <f t="shared" si="18"/>
        <v>1001</v>
      </c>
    </row>
    <row r="37" spans="1:33">
      <c r="B37">
        <v>4</v>
      </c>
      <c r="C37" t="str">
        <f t="shared" si="17"/>
        <v>0</v>
      </c>
      <c r="D37" t="str">
        <f t="shared" si="17"/>
        <v>1</v>
      </c>
      <c r="E37" t="str">
        <f t="shared" si="17"/>
        <v>1</v>
      </c>
      <c r="F37" t="str">
        <f t="shared" si="17"/>
        <v>1</v>
      </c>
      <c r="G37" t="str">
        <f t="shared" si="18"/>
        <v>0111</v>
      </c>
    </row>
    <row r="38" spans="1:33">
      <c r="B38">
        <v>5</v>
      </c>
      <c r="C38" t="str">
        <f t="shared" si="17"/>
        <v>0</v>
      </c>
      <c r="D38" t="str">
        <f t="shared" si="17"/>
        <v>1</v>
      </c>
      <c r="E38" t="str">
        <f t="shared" si="17"/>
        <v>0</v>
      </c>
      <c r="F38" t="str">
        <f t="shared" si="17"/>
        <v>0</v>
      </c>
      <c r="G38" t="str">
        <f t="shared" si="18"/>
        <v>0100</v>
      </c>
    </row>
    <row r="39" spans="1:33">
      <c r="B39">
        <v>6</v>
      </c>
      <c r="C39" t="str">
        <f t="shared" si="17"/>
        <v>0</v>
      </c>
      <c r="D39" t="str">
        <f t="shared" si="17"/>
        <v>0</v>
      </c>
      <c r="E39" t="str">
        <f t="shared" si="17"/>
        <v>0</v>
      </c>
      <c r="F39" t="str">
        <f t="shared" si="17"/>
        <v>0</v>
      </c>
      <c r="G39" t="str">
        <f t="shared" si="18"/>
        <v>0000</v>
      </c>
    </row>
    <row r="40" spans="1:33">
      <c r="B40">
        <v>7</v>
      </c>
      <c r="C40" t="str">
        <f t="shared" si="17"/>
        <v>1</v>
      </c>
      <c r="D40" t="str">
        <f t="shared" si="17"/>
        <v>0</v>
      </c>
      <c r="E40" t="str">
        <f t="shared" si="17"/>
        <v>1</v>
      </c>
      <c r="F40" t="str">
        <f t="shared" si="17"/>
        <v>1</v>
      </c>
      <c r="G40" t="str">
        <f t="shared" si="18"/>
        <v>1011</v>
      </c>
    </row>
    <row r="41" spans="1:33">
      <c r="B41">
        <v>8</v>
      </c>
      <c r="C41" t="str">
        <f t="shared" si="17"/>
        <v>1</v>
      </c>
      <c r="D41" t="str">
        <f t="shared" si="17"/>
        <v>0</v>
      </c>
      <c r="E41" t="str">
        <f t="shared" si="17"/>
        <v>0</v>
      </c>
      <c r="F41" t="str">
        <f t="shared" si="17"/>
        <v>1</v>
      </c>
      <c r="G41" t="str">
        <f t="shared" si="18"/>
        <v>1001</v>
      </c>
    </row>
    <row r="42" spans="1:33"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</row>
    <row r="43" spans="1:33">
      <c r="A43" t="s">
        <v>164</v>
      </c>
      <c r="B43" t="str">
        <f>CONCATENATE(G34,G35,G36,G37,G38,G39,G40,G41)</f>
        <v>10100100100101110100000010111001</v>
      </c>
    </row>
    <row r="44" spans="1:33">
      <c r="B44" t="str">
        <f>MID($B$43,B42,1)</f>
        <v>1</v>
      </c>
      <c r="C44" t="str">
        <f t="shared" ref="C44:AG44" si="19">MID($B$43,C42,1)</f>
        <v>0</v>
      </c>
      <c r="D44" t="str">
        <f t="shared" si="19"/>
        <v>1</v>
      </c>
      <c r="E44" t="str">
        <f t="shared" si="19"/>
        <v>0</v>
      </c>
      <c r="F44" t="str">
        <f t="shared" si="19"/>
        <v>0</v>
      </c>
      <c r="G44" t="str">
        <f t="shared" si="19"/>
        <v>1</v>
      </c>
      <c r="H44" t="str">
        <f t="shared" si="19"/>
        <v>0</v>
      </c>
      <c r="I44" t="str">
        <f t="shared" si="19"/>
        <v>0</v>
      </c>
      <c r="J44" t="str">
        <f t="shared" si="19"/>
        <v>1</v>
      </c>
      <c r="K44" t="str">
        <f t="shared" si="19"/>
        <v>0</v>
      </c>
      <c r="L44" t="str">
        <f t="shared" si="19"/>
        <v>0</v>
      </c>
      <c r="M44" t="str">
        <f t="shared" si="19"/>
        <v>1</v>
      </c>
      <c r="N44" t="str">
        <f t="shared" si="19"/>
        <v>0</v>
      </c>
      <c r="O44" t="str">
        <f t="shared" si="19"/>
        <v>1</v>
      </c>
      <c r="P44" t="str">
        <f t="shared" si="19"/>
        <v>1</v>
      </c>
      <c r="Q44" t="str">
        <f t="shared" si="19"/>
        <v>1</v>
      </c>
      <c r="R44" t="str">
        <f t="shared" si="19"/>
        <v>0</v>
      </c>
      <c r="S44" t="str">
        <f t="shared" si="19"/>
        <v>1</v>
      </c>
      <c r="T44" t="str">
        <f t="shared" si="19"/>
        <v>0</v>
      </c>
      <c r="U44" t="str">
        <f t="shared" si="19"/>
        <v>0</v>
      </c>
      <c r="V44" t="str">
        <f t="shared" si="19"/>
        <v>0</v>
      </c>
      <c r="W44" t="str">
        <f t="shared" si="19"/>
        <v>0</v>
      </c>
      <c r="X44" t="str">
        <f t="shared" si="19"/>
        <v>0</v>
      </c>
      <c r="Y44" t="str">
        <f t="shared" si="19"/>
        <v>0</v>
      </c>
      <c r="Z44" t="str">
        <f t="shared" si="19"/>
        <v>1</v>
      </c>
      <c r="AA44" t="str">
        <f t="shared" si="19"/>
        <v>0</v>
      </c>
      <c r="AB44" t="str">
        <f t="shared" si="19"/>
        <v>1</v>
      </c>
      <c r="AC44" t="str">
        <f t="shared" si="19"/>
        <v>1</v>
      </c>
      <c r="AD44" t="str">
        <f t="shared" si="19"/>
        <v>1</v>
      </c>
      <c r="AE44" t="str">
        <f t="shared" si="19"/>
        <v>0</v>
      </c>
      <c r="AF44" t="str">
        <f t="shared" si="19"/>
        <v>0</v>
      </c>
      <c r="AG44" t="str">
        <f t="shared" si="19"/>
        <v>1</v>
      </c>
    </row>
    <row r="45" spans="1:33">
      <c r="A45" t="str">
        <f>CONCATENATE("L",C4-1)</f>
        <v>L15</v>
      </c>
      <c r="B45" s="8" t="str">
        <f>'R15'!C6</f>
        <v>10111101001011011101001010101011</v>
      </c>
      <c r="C45" s="8"/>
      <c r="D45" s="8"/>
      <c r="E45" s="8"/>
      <c r="F45" s="8"/>
      <c r="G45" s="8"/>
      <c r="H45" s="8"/>
      <c r="I45" s="8"/>
    </row>
    <row r="46" spans="1:33">
      <c r="B46" t="str">
        <f>MID($B$45,B42,1)</f>
        <v>1</v>
      </c>
      <c r="C46" t="str">
        <f t="shared" ref="C46:AG46" si="20">MID($B$45,C42,1)</f>
        <v>0</v>
      </c>
      <c r="D46" t="str">
        <f t="shared" si="20"/>
        <v>1</v>
      </c>
      <c r="E46" t="str">
        <f t="shared" si="20"/>
        <v>1</v>
      </c>
      <c r="F46" t="str">
        <f t="shared" si="20"/>
        <v>1</v>
      </c>
      <c r="G46" t="str">
        <f t="shared" si="20"/>
        <v>1</v>
      </c>
      <c r="H46" t="str">
        <f t="shared" si="20"/>
        <v>0</v>
      </c>
      <c r="I46" t="str">
        <f t="shared" si="20"/>
        <v>1</v>
      </c>
      <c r="J46" t="str">
        <f t="shared" si="20"/>
        <v>0</v>
      </c>
      <c r="K46" t="str">
        <f t="shared" si="20"/>
        <v>0</v>
      </c>
      <c r="L46" t="str">
        <f t="shared" si="20"/>
        <v>1</v>
      </c>
      <c r="M46" t="str">
        <f t="shared" si="20"/>
        <v>0</v>
      </c>
      <c r="N46" t="str">
        <f t="shared" si="20"/>
        <v>1</v>
      </c>
      <c r="O46" t="str">
        <f t="shared" si="20"/>
        <v>1</v>
      </c>
      <c r="P46" t="str">
        <f t="shared" si="20"/>
        <v>0</v>
      </c>
      <c r="Q46" t="str">
        <f t="shared" si="20"/>
        <v>1</v>
      </c>
      <c r="R46" t="str">
        <f t="shared" si="20"/>
        <v>1</v>
      </c>
      <c r="S46" t="str">
        <f t="shared" si="20"/>
        <v>1</v>
      </c>
      <c r="T46" t="str">
        <f t="shared" si="20"/>
        <v>0</v>
      </c>
      <c r="U46" t="str">
        <f t="shared" si="20"/>
        <v>1</v>
      </c>
      <c r="V46" t="str">
        <f t="shared" si="20"/>
        <v>0</v>
      </c>
      <c r="W46" t="str">
        <f t="shared" si="20"/>
        <v>0</v>
      </c>
      <c r="X46" t="str">
        <f t="shared" si="20"/>
        <v>1</v>
      </c>
      <c r="Y46" t="str">
        <f t="shared" si="20"/>
        <v>0</v>
      </c>
      <c r="Z46" t="str">
        <f t="shared" si="20"/>
        <v>1</v>
      </c>
      <c r="AA46" t="str">
        <f t="shared" si="20"/>
        <v>0</v>
      </c>
      <c r="AB46" t="str">
        <f t="shared" si="20"/>
        <v>1</v>
      </c>
      <c r="AC46" t="str">
        <f t="shared" si="20"/>
        <v>0</v>
      </c>
      <c r="AD46" t="str">
        <f t="shared" si="20"/>
        <v>1</v>
      </c>
      <c r="AE46" t="str">
        <f t="shared" si="20"/>
        <v>0</v>
      </c>
      <c r="AF46" t="str">
        <f t="shared" si="20"/>
        <v>1</v>
      </c>
      <c r="AG46" t="str">
        <f t="shared" si="20"/>
        <v>1</v>
      </c>
    </row>
    <row r="47" spans="1:33">
      <c r="A47" t="str">
        <f>CONCATENATE("R",C4)</f>
        <v>R16</v>
      </c>
      <c r="B47">
        <f>IF(B44=B46,0,1)</f>
        <v>0</v>
      </c>
      <c r="C47">
        <f t="shared" ref="C47:AG47" si="21">IF(C44=C46,0,1)</f>
        <v>0</v>
      </c>
      <c r="D47">
        <f t="shared" si="21"/>
        <v>0</v>
      </c>
      <c r="E47">
        <f t="shared" si="21"/>
        <v>1</v>
      </c>
      <c r="F47">
        <f t="shared" si="21"/>
        <v>1</v>
      </c>
      <c r="G47">
        <f t="shared" si="21"/>
        <v>0</v>
      </c>
      <c r="H47">
        <f t="shared" si="21"/>
        <v>0</v>
      </c>
      <c r="I47">
        <f t="shared" si="21"/>
        <v>1</v>
      </c>
      <c r="J47">
        <f t="shared" si="21"/>
        <v>1</v>
      </c>
      <c r="K47">
        <f t="shared" si="21"/>
        <v>0</v>
      </c>
      <c r="L47">
        <f t="shared" si="21"/>
        <v>1</v>
      </c>
      <c r="M47">
        <f t="shared" si="21"/>
        <v>1</v>
      </c>
      <c r="N47">
        <f t="shared" si="21"/>
        <v>1</v>
      </c>
      <c r="O47">
        <f t="shared" si="21"/>
        <v>0</v>
      </c>
      <c r="P47">
        <f t="shared" si="21"/>
        <v>1</v>
      </c>
      <c r="Q47">
        <f t="shared" si="21"/>
        <v>0</v>
      </c>
      <c r="R47">
        <f t="shared" si="21"/>
        <v>1</v>
      </c>
      <c r="S47">
        <f t="shared" si="21"/>
        <v>0</v>
      </c>
      <c r="T47">
        <f t="shared" si="21"/>
        <v>0</v>
      </c>
      <c r="U47">
        <f t="shared" si="21"/>
        <v>1</v>
      </c>
      <c r="V47">
        <f t="shared" si="21"/>
        <v>0</v>
      </c>
      <c r="W47">
        <f t="shared" si="21"/>
        <v>0</v>
      </c>
      <c r="X47">
        <f t="shared" si="21"/>
        <v>1</v>
      </c>
      <c r="Y47">
        <f t="shared" si="21"/>
        <v>0</v>
      </c>
      <c r="Z47">
        <f t="shared" si="21"/>
        <v>0</v>
      </c>
      <c r="AA47">
        <f t="shared" si="21"/>
        <v>0</v>
      </c>
      <c r="AB47">
        <f t="shared" si="21"/>
        <v>0</v>
      </c>
      <c r="AC47">
        <f t="shared" si="21"/>
        <v>1</v>
      </c>
      <c r="AD47">
        <f t="shared" si="21"/>
        <v>0</v>
      </c>
      <c r="AE47">
        <f t="shared" si="21"/>
        <v>0</v>
      </c>
      <c r="AF47">
        <f t="shared" si="21"/>
        <v>1</v>
      </c>
      <c r="AG47">
        <f t="shared" si="21"/>
        <v>0</v>
      </c>
    </row>
    <row r="48" spans="1:33">
      <c r="B48" t="str">
        <f>CONCATENATE(B47,C47,D47,E47)</f>
        <v>0001</v>
      </c>
      <c r="F48" t="str">
        <f>CONCATENATE(F47,G47,H47,I47)</f>
        <v>1001</v>
      </c>
      <c r="J48" t="str">
        <f>CONCATENATE(J47,K47,L47,M47)</f>
        <v>1011</v>
      </c>
      <c r="N48" t="str">
        <f>CONCATENATE(N47,O47,P47,Q47)</f>
        <v>1010</v>
      </c>
      <c r="R48" t="str">
        <f>CONCATENATE(R47,S47,T47,U47)</f>
        <v>1001</v>
      </c>
      <c r="V48" t="str">
        <f>CONCATENATE(V47,W47,X47,Y47)</f>
        <v>0010</v>
      </c>
      <c r="Z48" t="str">
        <f>CONCATENATE(Z47,AA47,AB47,AC47)</f>
        <v>0001</v>
      </c>
      <c r="AD48" t="str">
        <f>CONCATENATE(AD47,AE47,AF47,AG47)</f>
        <v>0010</v>
      </c>
    </row>
    <row r="49" spans="1:2">
      <c r="A49" t="str">
        <f>A47</f>
        <v>R16</v>
      </c>
      <c r="B49" t="str">
        <f>CONCATENATE(B48,F48,J48,N48,R48,V48,Z48,AD48)</f>
        <v>00011001101110101001001000010010</v>
      </c>
    </row>
    <row r="50" spans="1:2">
      <c r="A50" t="str">
        <f>CONCATENATE(A49," hex")</f>
        <v>R16 hex</v>
      </c>
      <c r="B50" t="str">
        <f>CONCATENATE(BIN2HEX(B48),BIN2HEX(F48),BIN2HEX(J48),BIN2HEX(N48),BIN2HEX(R48),BIN2HEX(V48),BIN2HEX(Z48),BIN2HEX(AD48))</f>
        <v>19BA9212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08"/>
  <sheetViews>
    <sheetView topLeftCell="A29" workbookViewId="0">
      <selection activeCell="L15" sqref="L15"/>
    </sheetView>
  </sheetViews>
  <sheetFormatPr defaultColWidth="8.85546875" defaultRowHeight="15"/>
  <sheetData>
    <row r="1" spans="1:8">
      <c r="A1" s="3" t="s">
        <v>166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</row>
    <row r="2" spans="1:8">
      <c r="A2" s="4">
        <v>1</v>
      </c>
      <c r="B2" s="5">
        <v>57</v>
      </c>
      <c r="C2" s="5">
        <v>49</v>
      </c>
      <c r="D2" s="5">
        <v>41</v>
      </c>
      <c r="E2" s="5">
        <v>33</v>
      </c>
      <c r="F2" s="5">
        <v>25</v>
      </c>
      <c r="G2" s="5">
        <v>17</v>
      </c>
      <c r="H2" s="5">
        <v>9</v>
      </c>
    </row>
    <row r="3" spans="1:8">
      <c r="A3" s="4">
        <v>2</v>
      </c>
      <c r="B3" s="5">
        <v>1</v>
      </c>
      <c r="C3" s="5">
        <v>58</v>
      </c>
      <c r="D3" s="5">
        <v>50</v>
      </c>
      <c r="E3" s="5">
        <v>42</v>
      </c>
      <c r="F3" s="5">
        <v>34</v>
      </c>
      <c r="G3" s="5">
        <v>26</v>
      </c>
      <c r="H3" s="5">
        <v>18</v>
      </c>
    </row>
    <row r="4" spans="1:8">
      <c r="A4" s="4">
        <v>3</v>
      </c>
      <c r="B4" s="5">
        <v>10</v>
      </c>
      <c r="C4" s="5">
        <v>2</v>
      </c>
      <c r="D4" s="5">
        <v>59</v>
      </c>
      <c r="E4" s="5">
        <v>51</v>
      </c>
      <c r="F4" s="5">
        <v>43</v>
      </c>
      <c r="G4" s="5">
        <v>35</v>
      </c>
      <c r="H4" s="5">
        <v>27</v>
      </c>
    </row>
    <row r="5" spans="1:8">
      <c r="A5" s="4">
        <v>4</v>
      </c>
      <c r="B5" s="5">
        <v>19</v>
      </c>
      <c r="C5" s="5">
        <v>11</v>
      </c>
      <c r="D5" s="5">
        <v>3</v>
      </c>
      <c r="E5" s="5">
        <v>60</v>
      </c>
      <c r="F5" s="5">
        <v>52</v>
      </c>
      <c r="G5" s="5">
        <v>44</v>
      </c>
      <c r="H5" s="5">
        <v>36</v>
      </c>
    </row>
    <row r="6" spans="1:8">
      <c r="A6" s="4">
        <v>5</v>
      </c>
      <c r="B6" s="5">
        <v>63</v>
      </c>
      <c r="C6" s="5">
        <v>55</v>
      </c>
      <c r="D6" s="5">
        <v>47</v>
      </c>
      <c r="E6" s="5">
        <v>39</v>
      </c>
      <c r="F6" s="5">
        <v>31</v>
      </c>
      <c r="G6" s="5">
        <v>23</v>
      </c>
      <c r="H6" s="5">
        <v>15</v>
      </c>
    </row>
    <row r="7" spans="1:8">
      <c r="A7" s="4">
        <v>6</v>
      </c>
      <c r="B7" s="5">
        <v>7</v>
      </c>
      <c r="C7" s="5">
        <v>62</v>
      </c>
      <c r="D7" s="5">
        <v>54</v>
      </c>
      <c r="E7" s="5">
        <v>46</v>
      </c>
      <c r="F7" s="5">
        <v>38</v>
      </c>
      <c r="G7" s="5">
        <v>30</v>
      </c>
      <c r="H7" s="5">
        <v>22</v>
      </c>
    </row>
    <row r="8" spans="1:8">
      <c r="A8" s="4">
        <v>7</v>
      </c>
      <c r="B8" s="5">
        <v>14</v>
      </c>
      <c r="C8" s="5">
        <v>6</v>
      </c>
      <c r="D8" s="5">
        <v>61</v>
      </c>
      <c r="E8" s="5">
        <v>53</v>
      </c>
      <c r="F8" s="5">
        <v>45</v>
      </c>
      <c r="G8" s="5">
        <v>37</v>
      </c>
      <c r="H8" s="5">
        <v>29</v>
      </c>
    </row>
    <row r="9" spans="1:8">
      <c r="A9" s="4">
        <v>8</v>
      </c>
      <c r="B9" s="5">
        <v>21</v>
      </c>
      <c r="C9" s="5">
        <v>13</v>
      </c>
      <c r="D9" s="5">
        <v>5</v>
      </c>
      <c r="E9" s="5">
        <v>28</v>
      </c>
      <c r="F9" s="5">
        <v>20</v>
      </c>
      <c r="G9" s="5">
        <v>12</v>
      </c>
      <c r="H9" s="5">
        <v>4</v>
      </c>
    </row>
    <row r="11" spans="1:8">
      <c r="A11" s="3" t="s">
        <v>167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</row>
    <row r="12" spans="1:8">
      <c r="A12" s="4">
        <v>1</v>
      </c>
      <c r="B12" s="5">
        <v>14</v>
      </c>
      <c r="C12" s="5">
        <v>17</v>
      </c>
      <c r="D12" s="5">
        <v>11</v>
      </c>
      <c r="E12" s="5">
        <v>24</v>
      </c>
      <c r="F12" s="5">
        <v>1</v>
      </c>
      <c r="G12" s="5">
        <v>5</v>
      </c>
    </row>
    <row r="13" spans="1:8">
      <c r="A13" s="4">
        <v>2</v>
      </c>
      <c r="B13" s="5">
        <v>3</v>
      </c>
      <c r="C13" s="5">
        <v>28</v>
      </c>
      <c r="D13" s="5">
        <v>15</v>
      </c>
      <c r="E13" s="5">
        <v>6</v>
      </c>
      <c r="F13" s="5">
        <v>21</v>
      </c>
      <c r="G13" s="5">
        <v>10</v>
      </c>
    </row>
    <row r="14" spans="1:8">
      <c r="A14" s="4">
        <v>3</v>
      </c>
      <c r="B14" s="5">
        <v>23</v>
      </c>
      <c r="C14" s="5">
        <v>19</v>
      </c>
      <c r="D14" s="5">
        <v>12</v>
      </c>
      <c r="E14" s="5">
        <v>4</v>
      </c>
      <c r="F14" s="5">
        <v>26</v>
      </c>
      <c r="G14" s="5">
        <v>8</v>
      </c>
    </row>
    <row r="15" spans="1:8">
      <c r="A15" s="4">
        <v>4</v>
      </c>
      <c r="B15" s="5">
        <v>16</v>
      </c>
      <c r="C15" s="5">
        <v>7</v>
      </c>
      <c r="D15" s="5">
        <v>27</v>
      </c>
      <c r="E15" s="5">
        <v>20</v>
      </c>
      <c r="F15" s="5">
        <v>13</v>
      </c>
      <c r="G15" s="5">
        <v>2</v>
      </c>
    </row>
    <row r="16" spans="1:8">
      <c r="A16" s="4">
        <v>5</v>
      </c>
      <c r="B16" s="5">
        <v>41</v>
      </c>
      <c r="C16" s="5">
        <v>52</v>
      </c>
      <c r="D16" s="5">
        <v>31</v>
      </c>
      <c r="E16" s="5">
        <v>37</v>
      </c>
      <c r="F16" s="5">
        <v>47</v>
      </c>
      <c r="G16" s="5">
        <v>55</v>
      </c>
    </row>
    <row r="17" spans="1:9">
      <c r="A17" s="4">
        <v>6</v>
      </c>
      <c r="B17" s="5">
        <v>30</v>
      </c>
      <c r="C17" s="5">
        <v>40</v>
      </c>
      <c r="D17" s="5">
        <v>51</v>
      </c>
      <c r="E17" s="5">
        <v>45</v>
      </c>
      <c r="F17" s="5">
        <v>33</v>
      </c>
      <c r="G17" s="5">
        <v>48</v>
      </c>
    </row>
    <row r="18" spans="1:9">
      <c r="A18" s="4">
        <v>7</v>
      </c>
      <c r="B18" s="5">
        <v>44</v>
      </c>
      <c r="C18" s="5">
        <v>49</v>
      </c>
      <c r="D18" s="5">
        <v>39</v>
      </c>
      <c r="E18" s="5">
        <v>56</v>
      </c>
      <c r="F18" s="5">
        <v>34</v>
      </c>
      <c r="G18" s="5">
        <v>53</v>
      </c>
    </row>
    <row r="19" spans="1:9">
      <c r="A19" s="4">
        <v>8</v>
      </c>
      <c r="B19" s="5">
        <v>46</v>
      </c>
      <c r="C19" s="5">
        <v>42</v>
      </c>
      <c r="D19" s="5">
        <v>50</v>
      </c>
      <c r="E19" s="5">
        <v>36</v>
      </c>
      <c r="F19" s="5">
        <v>29</v>
      </c>
      <c r="G19" s="5">
        <v>32</v>
      </c>
    </row>
    <row r="21" spans="1:9">
      <c r="A21" s="3" t="s">
        <v>168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</row>
    <row r="22" spans="1:9">
      <c r="A22" s="4">
        <v>1</v>
      </c>
      <c r="B22" s="5">
        <v>58</v>
      </c>
      <c r="C22" s="5">
        <v>50</v>
      </c>
      <c r="D22" s="5">
        <v>42</v>
      </c>
      <c r="E22" s="5">
        <v>34</v>
      </c>
      <c r="F22" s="5">
        <v>26</v>
      </c>
      <c r="G22" s="5">
        <v>18</v>
      </c>
      <c r="H22" s="5">
        <v>10</v>
      </c>
      <c r="I22" s="5">
        <v>2</v>
      </c>
    </row>
    <row r="23" spans="1:9">
      <c r="A23" s="4">
        <v>2</v>
      </c>
      <c r="B23" s="5">
        <v>60</v>
      </c>
      <c r="C23" s="5">
        <v>52</v>
      </c>
      <c r="D23" s="5">
        <v>44</v>
      </c>
      <c r="E23" s="5">
        <v>36</v>
      </c>
      <c r="F23" s="5">
        <v>28</v>
      </c>
      <c r="G23" s="5">
        <v>20</v>
      </c>
      <c r="H23" s="5">
        <v>12</v>
      </c>
      <c r="I23" s="5">
        <v>4</v>
      </c>
    </row>
    <row r="24" spans="1:9">
      <c r="A24" s="4">
        <v>3</v>
      </c>
      <c r="B24" s="5">
        <v>62</v>
      </c>
      <c r="C24" s="5">
        <v>54</v>
      </c>
      <c r="D24" s="5">
        <v>46</v>
      </c>
      <c r="E24" s="5">
        <v>38</v>
      </c>
      <c r="F24" s="5">
        <v>30</v>
      </c>
      <c r="G24" s="5">
        <v>22</v>
      </c>
      <c r="H24" s="5">
        <v>14</v>
      </c>
      <c r="I24" s="5">
        <v>6</v>
      </c>
    </row>
    <row r="25" spans="1:9">
      <c r="A25" s="4">
        <v>4</v>
      </c>
      <c r="B25" s="5">
        <v>64</v>
      </c>
      <c r="C25" s="5">
        <v>56</v>
      </c>
      <c r="D25" s="5">
        <v>48</v>
      </c>
      <c r="E25" s="5">
        <v>40</v>
      </c>
      <c r="F25" s="5">
        <v>32</v>
      </c>
      <c r="G25" s="5">
        <v>24</v>
      </c>
      <c r="H25" s="5">
        <v>16</v>
      </c>
      <c r="I25" s="5">
        <v>8</v>
      </c>
    </row>
    <row r="26" spans="1:9">
      <c r="A26" s="4">
        <v>5</v>
      </c>
      <c r="B26" s="5">
        <v>57</v>
      </c>
      <c r="C26" s="5">
        <v>49</v>
      </c>
      <c r="D26" s="5">
        <v>41</v>
      </c>
      <c r="E26" s="5">
        <v>33</v>
      </c>
      <c r="F26" s="5">
        <v>25</v>
      </c>
      <c r="G26" s="5">
        <v>17</v>
      </c>
      <c r="H26" s="5">
        <v>9</v>
      </c>
      <c r="I26" s="5">
        <v>1</v>
      </c>
    </row>
    <row r="27" spans="1:9">
      <c r="A27" s="4">
        <v>6</v>
      </c>
      <c r="B27" s="5">
        <v>59</v>
      </c>
      <c r="C27" s="5">
        <v>51</v>
      </c>
      <c r="D27" s="5">
        <v>43</v>
      </c>
      <c r="E27" s="5">
        <v>35</v>
      </c>
      <c r="F27" s="5">
        <v>27</v>
      </c>
      <c r="G27" s="5">
        <v>19</v>
      </c>
      <c r="H27" s="5">
        <v>11</v>
      </c>
      <c r="I27" s="5">
        <v>3</v>
      </c>
    </row>
    <row r="28" spans="1:9">
      <c r="A28" s="4">
        <v>7</v>
      </c>
      <c r="B28" s="5">
        <v>61</v>
      </c>
      <c r="C28" s="5">
        <v>53</v>
      </c>
      <c r="D28" s="5">
        <v>45</v>
      </c>
      <c r="E28" s="5">
        <v>37</v>
      </c>
      <c r="F28" s="5">
        <v>29</v>
      </c>
      <c r="G28" s="5">
        <v>21</v>
      </c>
      <c r="H28" s="5">
        <v>13</v>
      </c>
      <c r="I28" s="5">
        <v>5</v>
      </c>
    </row>
    <row r="29" spans="1:9">
      <c r="A29" s="4">
        <v>8</v>
      </c>
      <c r="B29" s="5">
        <v>63</v>
      </c>
      <c r="C29" s="5">
        <v>55</v>
      </c>
      <c r="D29" s="5">
        <v>47</v>
      </c>
      <c r="E29" s="5">
        <v>39</v>
      </c>
      <c r="F29" s="5">
        <v>31</v>
      </c>
      <c r="G29" s="5">
        <v>23</v>
      </c>
      <c r="H29" s="5">
        <v>15</v>
      </c>
      <c r="I29" s="5">
        <v>7</v>
      </c>
    </row>
    <row r="31" spans="1:9">
      <c r="A31" s="3" t="s">
        <v>169</v>
      </c>
      <c r="B31" s="4">
        <v>1</v>
      </c>
      <c r="C31" s="4">
        <v>2</v>
      </c>
      <c r="D31" s="4">
        <v>3</v>
      </c>
      <c r="E31" s="4">
        <v>4</v>
      </c>
      <c r="F31" s="4">
        <v>5</v>
      </c>
      <c r="G31" s="4">
        <v>6</v>
      </c>
    </row>
    <row r="32" spans="1:9">
      <c r="A32" s="4">
        <v>1</v>
      </c>
      <c r="B32" s="5">
        <v>32</v>
      </c>
      <c r="C32" s="5">
        <v>1</v>
      </c>
      <c r="D32" s="5">
        <v>2</v>
      </c>
      <c r="E32" s="5">
        <v>3</v>
      </c>
      <c r="F32" s="5">
        <v>4</v>
      </c>
      <c r="G32" s="5">
        <v>5</v>
      </c>
    </row>
    <row r="33" spans="1:17">
      <c r="A33" s="4">
        <v>2</v>
      </c>
      <c r="B33" s="5">
        <v>4</v>
      </c>
      <c r="C33" s="5">
        <v>5</v>
      </c>
      <c r="D33" s="5">
        <v>6</v>
      </c>
      <c r="E33" s="5">
        <v>7</v>
      </c>
      <c r="F33" s="5">
        <v>8</v>
      </c>
      <c r="G33" s="5">
        <v>9</v>
      </c>
    </row>
    <row r="34" spans="1:17">
      <c r="A34" s="4">
        <v>3</v>
      </c>
      <c r="B34" s="5">
        <v>8</v>
      </c>
      <c r="C34" s="5">
        <v>9</v>
      </c>
      <c r="D34" s="5">
        <v>10</v>
      </c>
      <c r="E34" s="5">
        <v>11</v>
      </c>
      <c r="F34" s="5">
        <v>12</v>
      </c>
      <c r="G34" s="5">
        <v>13</v>
      </c>
    </row>
    <row r="35" spans="1:17">
      <c r="A35" s="4">
        <v>4</v>
      </c>
      <c r="B35" s="5">
        <v>12</v>
      </c>
      <c r="C35" s="5">
        <v>13</v>
      </c>
      <c r="D35" s="5">
        <v>14</v>
      </c>
      <c r="E35" s="5">
        <v>15</v>
      </c>
      <c r="F35" s="5">
        <v>16</v>
      </c>
      <c r="G35" s="5">
        <v>17</v>
      </c>
    </row>
    <row r="36" spans="1:17">
      <c r="A36" s="4">
        <v>5</v>
      </c>
      <c r="B36" s="5">
        <v>16</v>
      </c>
      <c r="C36" s="5">
        <v>17</v>
      </c>
      <c r="D36" s="5">
        <v>18</v>
      </c>
      <c r="E36" s="5">
        <v>19</v>
      </c>
      <c r="F36" s="5">
        <v>20</v>
      </c>
      <c r="G36" s="5">
        <v>21</v>
      </c>
    </row>
    <row r="37" spans="1:17">
      <c r="A37" s="4">
        <v>6</v>
      </c>
      <c r="B37" s="5">
        <v>20</v>
      </c>
      <c r="C37" s="5">
        <v>21</v>
      </c>
      <c r="D37" s="5">
        <v>22</v>
      </c>
      <c r="E37" s="5">
        <v>23</v>
      </c>
      <c r="F37" s="5">
        <v>24</v>
      </c>
      <c r="G37" s="5">
        <v>25</v>
      </c>
    </row>
    <row r="38" spans="1:17">
      <c r="A38" s="4">
        <v>7</v>
      </c>
      <c r="B38" s="5">
        <v>24</v>
      </c>
      <c r="C38" s="5">
        <v>25</v>
      </c>
      <c r="D38" s="5">
        <v>26</v>
      </c>
      <c r="E38" s="5">
        <v>27</v>
      </c>
      <c r="F38" s="5">
        <v>28</v>
      </c>
      <c r="G38" s="5">
        <v>29</v>
      </c>
    </row>
    <row r="39" spans="1:17">
      <c r="A39" s="4">
        <v>8</v>
      </c>
      <c r="B39" s="5">
        <v>28</v>
      </c>
      <c r="C39" s="5">
        <v>29</v>
      </c>
      <c r="D39" s="5">
        <v>30</v>
      </c>
      <c r="E39" s="5">
        <v>31</v>
      </c>
      <c r="F39" s="5">
        <v>32</v>
      </c>
      <c r="G39" s="5">
        <v>1</v>
      </c>
    </row>
    <row r="41" spans="1:17">
      <c r="A41" s="4" t="s">
        <v>170</v>
      </c>
      <c r="B41" s="4">
        <v>0</v>
      </c>
      <c r="C41" s="4">
        <v>1</v>
      </c>
      <c r="D41" s="4">
        <v>2</v>
      </c>
      <c r="E41" s="4">
        <v>3</v>
      </c>
      <c r="F41" s="4">
        <v>4</v>
      </c>
      <c r="G41" s="4">
        <v>5</v>
      </c>
      <c r="H41" s="4">
        <v>6</v>
      </c>
      <c r="I41" s="4">
        <v>7</v>
      </c>
      <c r="J41" s="4">
        <v>8</v>
      </c>
      <c r="K41" s="4">
        <v>9</v>
      </c>
      <c r="L41" s="4">
        <v>10</v>
      </c>
      <c r="M41" s="4">
        <v>11</v>
      </c>
      <c r="N41" s="4">
        <v>12</v>
      </c>
      <c r="O41" s="4">
        <v>13</v>
      </c>
      <c r="P41" s="4">
        <v>14</v>
      </c>
      <c r="Q41" s="4">
        <v>15</v>
      </c>
    </row>
    <row r="42" spans="1:17">
      <c r="A42" s="4">
        <v>0</v>
      </c>
      <c r="B42" s="5">
        <v>14</v>
      </c>
      <c r="C42" s="5">
        <v>4</v>
      </c>
      <c r="D42" s="5">
        <v>13</v>
      </c>
      <c r="E42" s="5">
        <v>1</v>
      </c>
      <c r="F42" s="5">
        <v>2</v>
      </c>
      <c r="G42" s="5">
        <v>15</v>
      </c>
      <c r="H42" s="5">
        <v>11</v>
      </c>
      <c r="I42" s="5">
        <v>8</v>
      </c>
      <c r="J42" s="5">
        <v>3</v>
      </c>
      <c r="K42" s="5">
        <v>10</v>
      </c>
      <c r="L42" s="5">
        <v>6</v>
      </c>
      <c r="M42" s="5">
        <v>12</v>
      </c>
      <c r="N42" s="5">
        <v>5</v>
      </c>
      <c r="O42" s="5">
        <v>9</v>
      </c>
      <c r="P42" s="5">
        <v>0</v>
      </c>
      <c r="Q42" s="5">
        <v>7</v>
      </c>
    </row>
    <row r="43" spans="1:17">
      <c r="A43" s="4">
        <v>1</v>
      </c>
      <c r="B43" s="5">
        <v>0</v>
      </c>
      <c r="C43" s="5">
        <v>15</v>
      </c>
      <c r="D43" s="5">
        <v>7</v>
      </c>
      <c r="E43" s="5">
        <v>4</v>
      </c>
      <c r="F43" s="5">
        <v>14</v>
      </c>
      <c r="G43" s="5">
        <v>2</v>
      </c>
      <c r="H43" s="5">
        <v>13</v>
      </c>
      <c r="I43" s="5">
        <v>1</v>
      </c>
      <c r="J43" s="5">
        <v>10</v>
      </c>
      <c r="K43" s="5">
        <v>6</v>
      </c>
      <c r="L43" s="5">
        <v>12</v>
      </c>
      <c r="M43" s="5">
        <v>11</v>
      </c>
      <c r="N43" s="5">
        <v>9</v>
      </c>
      <c r="O43" s="5">
        <v>5</v>
      </c>
      <c r="P43" s="5">
        <v>3</v>
      </c>
      <c r="Q43" s="5">
        <v>8</v>
      </c>
    </row>
    <row r="44" spans="1:17">
      <c r="A44" s="4">
        <v>2</v>
      </c>
      <c r="B44" s="5">
        <v>4</v>
      </c>
      <c r="C44" s="5">
        <v>1</v>
      </c>
      <c r="D44" s="5">
        <v>14</v>
      </c>
      <c r="E44" s="5">
        <v>8</v>
      </c>
      <c r="F44" s="5">
        <v>13</v>
      </c>
      <c r="G44" s="5">
        <v>6</v>
      </c>
      <c r="H44" s="5">
        <v>2</v>
      </c>
      <c r="I44" s="5">
        <v>11</v>
      </c>
      <c r="J44" s="5">
        <v>15</v>
      </c>
      <c r="K44" s="5">
        <v>12</v>
      </c>
      <c r="L44" s="5">
        <v>9</v>
      </c>
      <c r="M44" s="5">
        <v>7</v>
      </c>
      <c r="N44" s="5">
        <v>3</v>
      </c>
      <c r="O44" s="5">
        <v>10</v>
      </c>
      <c r="P44" s="5">
        <v>5</v>
      </c>
      <c r="Q44" s="5">
        <v>0</v>
      </c>
    </row>
    <row r="45" spans="1:17">
      <c r="A45" s="4">
        <v>3</v>
      </c>
      <c r="B45" s="5">
        <v>15</v>
      </c>
      <c r="C45" s="5">
        <v>12</v>
      </c>
      <c r="D45" s="5">
        <v>8</v>
      </c>
      <c r="E45" s="5">
        <v>2</v>
      </c>
      <c r="F45" s="5">
        <v>4</v>
      </c>
      <c r="G45" s="5">
        <v>9</v>
      </c>
      <c r="H45" s="5">
        <v>1</v>
      </c>
      <c r="I45" s="5">
        <v>7</v>
      </c>
      <c r="J45" s="5">
        <v>5</v>
      </c>
      <c r="K45" s="5">
        <v>11</v>
      </c>
      <c r="L45" s="5">
        <v>3</v>
      </c>
      <c r="M45" s="5">
        <v>14</v>
      </c>
      <c r="N45" s="5">
        <v>10</v>
      </c>
      <c r="O45" s="5">
        <v>0</v>
      </c>
      <c r="P45" s="5">
        <v>6</v>
      </c>
      <c r="Q45" s="5">
        <v>13</v>
      </c>
    </row>
    <row r="46" spans="1:17">
      <c r="A46" s="2"/>
    </row>
    <row r="47" spans="1:17">
      <c r="A47" s="4" t="s">
        <v>171</v>
      </c>
      <c r="B47" s="4">
        <v>0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4">
        <v>6</v>
      </c>
      <c r="I47" s="4">
        <v>7</v>
      </c>
      <c r="J47" s="4">
        <v>8</v>
      </c>
      <c r="K47" s="4">
        <v>9</v>
      </c>
      <c r="L47" s="4">
        <v>10</v>
      </c>
      <c r="M47" s="4">
        <v>11</v>
      </c>
      <c r="N47" s="4">
        <v>12</v>
      </c>
      <c r="O47" s="4">
        <v>13</v>
      </c>
      <c r="P47" s="4">
        <v>14</v>
      </c>
      <c r="Q47" s="4">
        <v>15</v>
      </c>
    </row>
    <row r="48" spans="1:17">
      <c r="A48" s="4">
        <v>0</v>
      </c>
      <c r="B48" s="5">
        <v>15</v>
      </c>
      <c r="C48" s="5">
        <v>1</v>
      </c>
      <c r="D48" s="5">
        <v>8</v>
      </c>
      <c r="E48" s="5">
        <v>14</v>
      </c>
      <c r="F48" s="5">
        <v>6</v>
      </c>
      <c r="G48" s="5">
        <v>11</v>
      </c>
      <c r="H48" s="5">
        <v>3</v>
      </c>
      <c r="I48" s="5">
        <v>4</v>
      </c>
      <c r="J48" s="5">
        <v>9</v>
      </c>
      <c r="K48" s="5">
        <v>7</v>
      </c>
      <c r="L48" s="5">
        <v>2</v>
      </c>
      <c r="M48" s="5">
        <v>13</v>
      </c>
      <c r="N48" s="5">
        <v>12</v>
      </c>
      <c r="O48" s="5">
        <v>0</v>
      </c>
      <c r="P48" s="5">
        <v>5</v>
      </c>
      <c r="Q48" s="5">
        <v>10</v>
      </c>
    </row>
    <row r="49" spans="1:17">
      <c r="A49" s="4">
        <v>1</v>
      </c>
      <c r="B49" s="5">
        <v>3</v>
      </c>
      <c r="C49" s="5">
        <v>13</v>
      </c>
      <c r="D49" s="5">
        <v>4</v>
      </c>
      <c r="E49" s="5">
        <v>7</v>
      </c>
      <c r="F49" s="5">
        <v>15</v>
      </c>
      <c r="G49" s="5">
        <v>2</v>
      </c>
      <c r="H49" s="5">
        <v>8</v>
      </c>
      <c r="I49" s="5">
        <v>14</v>
      </c>
      <c r="J49" s="5">
        <v>12</v>
      </c>
      <c r="K49" s="5">
        <v>0</v>
      </c>
      <c r="L49" s="5">
        <v>1</v>
      </c>
      <c r="M49" s="5">
        <v>10</v>
      </c>
      <c r="N49" s="5">
        <v>6</v>
      </c>
      <c r="O49" s="5">
        <v>9</v>
      </c>
      <c r="P49" s="5">
        <v>11</v>
      </c>
      <c r="Q49" s="5">
        <v>5</v>
      </c>
    </row>
    <row r="50" spans="1:17">
      <c r="A50" s="4">
        <v>2</v>
      </c>
      <c r="B50" s="5">
        <v>0</v>
      </c>
      <c r="C50" s="5">
        <v>14</v>
      </c>
      <c r="D50" s="5">
        <v>7</v>
      </c>
      <c r="E50" s="5">
        <v>11</v>
      </c>
      <c r="F50" s="5">
        <v>10</v>
      </c>
      <c r="G50" s="5">
        <v>4</v>
      </c>
      <c r="H50" s="5">
        <v>13</v>
      </c>
      <c r="I50" s="5">
        <v>1</v>
      </c>
      <c r="J50" s="5">
        <v>5</v>
      </c>
      <c r="K50" s="5">
        <v>8</v>
      </c>
      <c r="L50" s="5">
        <v>12</v>
      </c>
      <c r="M50" s="5">
        <v>6</v>
      </c>
      <c r="N50" s="5">
        <v>9</v>
      </c>
      <c r="O50" s="5">
        <v>3</v>
      </c>
      <c r="P50" s="5">
        <v>2</v>
      </c>
      <c r="Q50" s="5">
        <v>15</v>
      </c>
    </row>
    <row r="51" spans="1:17">
      <c r="A51" s="4">
        <v>3</v>
      </c>
      <c r="B51" s="5">
        <v>13</v>
      </c>
      <c r="C51" s="5">
        <v>8</v>
      </c>
      <c r="D51" s="5">
        <v>10</v>
      </c>
      <c r="E51" s="5">
        <v>1</v>
      </c>
      <c r="F51" s="5">
        <v>3</v>
      </c>
      <c r="G51" s="5">
        <v>15</v>
      </c>
      <c r="H51" s="5">
        <v>4</v>
      </c>
      <c r="I51" s="5">
        <v>2</v>
      </c>
      <c r="J51" s="5">
        <v>11</v>
      </c>
      <c r="K51" s="5">
        <v>6</v>
      </c>
      <c r="L51" s="5">
        <v>7</v>
      </c>
      <c r="M51" s="5">
        <v>12</v>
      </c>
      <c r="N51" s="5">
        <v>0</v>
      </c>
      <c r="O51" s="5">
        <v>5</v>
      </c>
      <c r="P51" s="5">
        <v>14</v>
      </c>
      <c r="Q51" s="5">
        <v>9</v>
      </c>
    </row>
    <row r="53" spans="1:17">
      <c r="A53" s="4" t="s">
        <v>172</v>
      </c>
      <c r="B53" s="4">
        <v>0</v>
      </c>
      <c r="C53" s="4">
        <v>1</v>
      </c>
      <c r="D53" s="4">
        <v>2</v>
      </c>
      <c r="E53" s="4">
        <v>3</v>
      </c>
      <c r="F53" s="4">
        <v>4</v>
      </c>
      <c r="G53" s="4">
        <v>5</v>
      </c>
      <c r="H53" s="4">
        <v>6</v>
      </c>
      <c r="I53" s="4">
        <v>7</v>
      </c>
      <c r="J53" s="4">
        <v>8</v>
      </c>
      <c r="K53" s="4">
        <v>9</v>
      </c>
      <c r="L53" s="4">
        <v>10</v>
      </c>
      <c r="M53" s="4">
        <v>11</v>
      </c>
      <c r="N53" s="4">
        <v>12</v>
      </c>
      <c r="O53" s="4">
        <v>13</v>
      </c>
      <c r="P53" s="4">
        <v>14</v>
      </c>
      <c r="Q53" s="4">
        <v>15</v>
      </c>
    </row>
    <row r="54" spans="1:17">
      <c r="A54" s="4">
        <v>0</v>
      </c>
      <c r="B54" s="5">
        <v>10</v>
      </c>
      <c r="C54" s="5">
        <v>0</v>
      </c>
      <c r="D54" s="5">
        <v>9</v>
      </c>
      <c r="E54" s="5">
        <v>14</v>
      </c>
      <c r="F54" s="5">
        <v>6</v>
      </c>
      <c r="G54" s="5">
        <v>3</v>
      </c>
      <c r="H54" s="5">
        <v>15</v>
      </c>
      <c r="I54" s="5">
        <v>5</v>
      </c>
      <c r="J54" s="5">
        <v>1</v>
      </c>
      <c r="K54" s="5">
        <v>13</v>
      </c>
      <c r="L54" s="5">
        <v>12</v>
      </c>
      <c r="M54" s="5">
        <v>7</v>
      </c>
      <c r="N54" s="5">
        <v>11</v>
      </c>
      <c r="O54" s="5">
        <v>4</v>
      </c>
      <c r="P54" s="5">
        <v>2</v>
      </c>
      <c r="Q54" s="5">
        <v>8</v>
      </c>
    </row>
    <row r="55" spans="1:17">
      <c r="A55" s="4">
        <v>1</v>
      </c>
      <c r="B55" s="5">
        <v>13</v>
      </c>
      <c r="C55" s="5">
        <v>7</v>
      </c>
      <c r="D55" s="5">
        <v>0</v>
      </c>
      <c r="E55" s="5">
        <v>9</v>
      </c>
      <c r="F55" s="5">
        <v>3</v>
      </c>
      <c r="G55" s="5">
        <v>4</v>
      </c>
      <c r="H55" s="5">
        <v>6</v>
      </c>
      <c r="I55" s="5">
        <v>10</v>
      </c>
      <c r="J55" s="5">
        <v>2</v>
      </c>
      <c r="K55" s="5">
        <v>8</v>
      </c>
      <c r="L55" s="5">
        <v>5</v>
      </c>
      <c r="M55" s="5">
        <v>14</v>
      </c>
      <c r="N55" s="5">
        <v>12</v>
      </c>
      <c r="O55" s="5">
        <v>11</v>
      </c>
      <c r="P55" s="5">
        <v>15</v>
      </c>
      <c r="Q55" s="5">
        <v>1</v>
      </c>
    </row>
    <row r="56" spans="1:17">
      <c r="A56" s="4">
        <v>2</v>
      </c>
      <c r="B56" s="5">
        <v>13</v>
      </c>
      <c r="C56" s="5">
        <v>6</v>
      </c>
      <c r="D56" s="5">
        <v>4</v>
      </c>
      <c r="E56" s="5">
        <v>9</v>
      </c>
      <c r="F56" s="5">
        <v>8</v>
      </c>
      <c r="G56" s="5">
        <v>15</v>
      </c>
      <c r="H56" s="5">
        <v>3</v>
      </c>
      <c r="I56" s="5">
        <v>0</v>
      </c>
      <c r="J56" s="5">
        <v>11</v>
      </c>
      <c r="K56" s="5">
        <v>1</v>
      </c>
      <c r="L56" s="5">
        <v>2</v>
      </c>
      <c r="M56" s="5">
        <v>12</v>
      </c>
      <c r="N56" s="5">
        <v>5</v>
      </c>
      <c r="O56" s="5">
        <v>10</v>
      </c>
      <c r="P56" s="5">
        <v>14</v>
      </c>
      <c r="Q56" s="5">
        <v>7</v>
      </c>
    </row>
    <row r="57" spans="1:17">
      <c r="A57" s="4">
        <v>3</v>
      </c>
      <c r="B57" s="5">
        <v>1</v>
      </c>
      <c r="C57" s="5">
        <v>10</v>
      </c>
      <c r="D57" s="5">
        <v>13</v>
      </c>
      <c r="E57" s="5">
        <v>0</v>
      </c>
      <c r="F57" s="5">
        <v>6</v>
      </c>
      <c r="G57" s="5">
        <v>9</v>
      </c>
      <c r="H57" s="5">
        <v>8</v>
      </c>
      <c r="I57" s="5">
        <v>7</v>
      </c>
      <c r="J57" s="5">
        <v>4</v>
      </c>
      <c r="K57" s="5">
        <v>15</v>
      </c>
      <c r="L57" s="5">
        <v>14</v>
      </c>
      <c r="M57" s="5">
        <v>3</v>
      </c>
      <c r="N57" s="5">
        <v>11</v>
      </c>
      <c r="O57" s="5">
        <v>5</v>
      </c>
      <c r="P57" s="5">
        <v>2</v>
      </c>
      <c r="Q57" s="5">
        <v>12</v>
      </c>
    </row>
    <row r="59" spans="1:17">
      <c r="A59" s="4" t="s">
        <v>173</v>
      </c>
      <c r="B59" s="4">
        <v>0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4">
        <v>10</v>
      </c>
      <c r="M59" s="4">
        <v>11</v>
      </c>
      <c r="N59" s="4">
        <v>12</v>
      </c>
      <c r="O59" s="4">
        <v>13</v>
      </c>
      <c r="P59" s="4">
        <v>14</v>
      </c>
      <c r="Q59" s="4">
        <v>15</v>
      </c>
    </row>
    <row r="60" spans="1:17">
      <c r="A60" s="4">
        <v>0</v>
      </c>
      <c r="B60" s="5">
        <v>7</v>
      </c>
      <c r="C60" s="5">
        <v>13</v>
      </c>
      <c r="D60" s="5">
        <v>14</v>
      </c>
      <c r="E60" s="5">
        <v>3</v>
      </c>
      <c r="F60" s="5">
        <v>0</v>
      </c>
      <c r="G60" s="5">
        <v>6</v>
      </c>
      <c r="H60" s="5">
        <v>9</v>
      </c>
      <c r="I60" s="5">
        <v>10</v>
      </c>
      <c r="J60" s="5">
        <v>1</v>
      </c>
      <c r="K60" s="5">
        <v>2</v>
      </c>
      <c r="L60" s="5">
        <v>8</v>
      </c>
      <c r="M60" s="5">
        <v>5</v>
      </c>
      <c r="N60" s="5">
        <v>11</v>
      </c>
      <c r="O60" s="5">
        <v>12</v>
      </c>
      <c r="P60" s="5">
        <v>4</v>
      </c>
      <c r="Q60" s="5">
        <v>15</v>
      </c>
    </row>
    <row r="61" spans="1:17">
      <c r="A61" s="4">
        <v>1</v>
      </c>
      <c r="B61" s="5">
        <v>13</v>
      </c>
      <c r="C61" s="5">
        <v>8</v>
      </c>
      <c r="D61" s="5">
        <v>11</v>
      </c>
      <c r="E61" s="5">
        <v>5</v>
      </c>
      <c r="F61" s="5">
        <v>6</v>
      </c>
      <c r="G61" s="5">
        <v>15</v>
      </c>
      <c r="H61" s="5">
        <v>0</v>
      </c>
      <c r="I61" s="5">
        <v>3</v>
      </c>
      <c r="J61" s="5">
        <v>4</v>
      </c>
      <c r="K61" s="5">
        <v>7</v>
      </c>
      <c r="L61" s="5">
        <v>2</v>
      </c>
      <c r="M61" s="5">
        <v>12</v>
      </c>
      <c r="N61" s="5">
        <v>1</v>
      </c>
      <c r="O61" s="5">
        <v>10</v>
      </c>
      <c r="P61" s="5">
        <v>14</v>
      </c>
      <c r="Q61" s="5">
        <v>9</v>
      </c>
    </row>
    <row r="62" spans="1:17">
      <c r="A62" s="4">
        <v>2</v>
      </c>
      <c r="B62" s="5">
        <v>10</v>
      </c>
      <c r="C62" s="5">
        <v>6</v>
      </c>
      <c r="D62" s="5">
        <v>9</v>
      </c>
      <c r="E62" s="5">
        <v>0</v>
      </c>
      <c r="F62" s="5">
        <v>12</v>
      </c>
      <c r="G62" s="5">
        <v>11</v>
      </c>
      <c r="H62" s="5">
        <v>7</v>
      </c>
      <c r="I62" s="5">
        <v>13</v>
      </c>
      <c r="J62" s="5">
        <v>15</v>
      </c>
      <c r="K62" s="5">
        <v>1</v>
      </c>
      <c r="L62" s="5">
        <v>3</v>
      </c>
      <c r="M62" s="5">
        <v>14</v>
      </c>
      <c r="N62" s="5">
        <v>5</v>
      </c>
      <c r="O62" s="5">
        <v>2</v>
      </c>
      <c r="P62" s="5">
        <v>8</v>
      </c>
      <c r="Q62" s="5">
        <v>4</v>
      </c>
    </row>
    <row r="63" spans="1:17">
      <c r="A63" s="4">
        <v>3</v>
      </c>
      <c r="B63" s="5">
        <v>3</v>
      </c>
      <c r="C63" s="5">
        <v>15</v>
      </c>
      <c r="D63" s="5">
        <v>0</v>
      </c>
      <c r="E63" s="5">
        <v>6</v>
      </c>
      <c r="F63" s="5">
        <v>10</v>
      </c>
      <c r="G63" s="5">
        <v>1</v>
      </c>
      <c r="H63" s="5">
        <v>13</v>
      </c>
      <c r="I63" s="5">
        <v>8</v>
      </c>
      <c r="J63" s="5">
        <v>9</v>
      </c>
      <c r="K63" s="5">
        <v>4</v>
      </c>
      <c r="L63" s="5">
        <v>5</v>
      </c>
      <c r="M63" s="5">
        <v>11</v>
      </c>
      <c r="N63" s="5">
        <v>12</v>
      </c>
      <c r="O63" s="5">
        <v>7</v>
      </c>
      <c r="P63" s="5">
        <v>2</v>
      </c>
      <c r="Q63" s="5">
        <v>14</v>
      </c>
    </row>
    <row r="65" spans="1:17">
      <c r="A65" s="4" t="s">
        <v>174</v>
      </c>
      <c r="B65" s="4">
        <v>0</v>
      </c>
      <c r="C65" s="4">
        <v>1</v>
      </c>
      <c r="D65" s="4">
        <v>2</v>
      </c>
      <c r="E65" s="4">
        <v>3</v>
      </c>
      <c r="F65" s="4">
        <v>4</v>
      </c>
      <c r="G65" s="4">
        <v>5</v>
      </c>
      <c r="H65" s="4">
        <v>6</v>
      </c>
      <c r="I65" s="4">
        <v>7</v>
      </c>
      <c r="J65" s="4">
        <v>8</v>
      </c>
      <c r="K65" s="4">
        <v>9</v>
      </c>
      <c r="L65" s="4">
        <v>10</v>
      </c>
      <c r="M65" s="4">
        <v>11</v>
      </c>
      <c r="N65" s="4">
        <v>12</v>
      </c>
      <c r="O65" s="4">
        <v>13</v>
      </c>
      <c r="P65" s="4">
        <v>14</v>
      </c>
      <c r="Q65" s="4">
        <v>15</v>
      </c>
    </row>
    <row r="66" spans="1:17">
      <c r="A66" s="4">
        <v>0</v>
      </c>
      <c r="B66" s="5">
        <v>2</v>
      </c>
      <c r="C66" s="5">
        <v>12</v>
      </c>
      <c r="D66" s="5">
        <v>4</v>
      </c>
      <c r="E66" s="5">
        <v>1</v>
      </c>
      <c r="F66" s="5">
        <v>7</v>
      </c>
      <c r="G66" s="5">
        <v>10</v>
      </c>
      <c r="H66" s="5">
        <v>11</v>
      </c>
      <c r="I66" s="5">
        <v>6</v>
      </c>
      <c r="J66" s="5">
        <v>8</v>
      </c>
      <c r="K66" s="5">
        <v>5</v>
      </c>
      <c r="L66" s="5">
        <v>3</v>
      </c>
      <c r="M66" s="5">
        <v>15</v>
      </c>
      <c r="N66" s="5">
        <v>13</v>
      </c>
      <c r="O66" s="5">
        <v>0</v>
      </c>
      <c r="P66" s="5">
        <v>14</v>
      </c>
      <c r="Q66" s="5">
        <v>9</v>
      </c>
    </row>
    <row r="67" spans="1:17">
      <c r="A67" s="4">
        <v>1</v>
      </c>
      <c r="B67" s="5">
        <v>14</v>
      </c>
      <c r="C67" s="5">
        <v>11</v>
      </c>
      <c r="D67" s="5">
        <v>2</v>
      </c>
      <c r="E67" s="5">
        <v>12</v>
      </c>
      <c r="F67" s="5">
        <v>4</v>
      </c>
      <c r="G67" s="5">
        <v>7</v>
      </c>
      <c r="H67" s="5">
        <v>13</v>
      </c>
      <c r="I67" s="5">
        <v>1</v>
      </c>
      <c r="J67" s="5">
        <v>5</v>
      </c>
      <c r="K67" s="5">
        <v>0</v>
      </c>
      <c r="L67" s="5">
        <v>15</v>
      </c>
      <c r="M67" s="5">
        <v>10</v>
      </c>
      <c r="N67" s="5">
        <v>3</v>
      </c>
      <c r="O67" s="5">
        <v>9</v>
      </c>
      <c r="P67" s="5">
        <v>8</v>
      </c>
      <c r="Q67" s="5">
        <v>6</v>
      </c>
    </row>
    <row r="68" spans="1:17">
      <c r="A68" s="4">
        <v>2</v>
      </c>
      <c r="B68" s="5">
        <v>4</v>
      </c>
      <c r="C68" s="5">
        <v>2</v>
      </c>
      <c r="D68" s="5">
        <v>1</v>
      </c>
      <c r="E68" s="5">
        <v>11</v>
      </c>
      <c r="F68" s="5">
        <v>10</v>
      </c>
      <c r="G68" s="5">
        <v>13</v>
      </c>
      <c r="H68" s="5">
        <v>7</v>
      </c>
      <c r="I68" s="5">
        <v>8</v>
      </c>
      <c r="J68" s="5">
        <v>15</v>
      </c>
      <c r="K68" s="5">
        <v>9</v>
      </c>
      <c r="L68" s="5">
        <v>12</v>
      </c>
      <c r="M68" s="5">
        <v>5</v>
      </c>
      <c r="N68" s="5">
        <v>6</v>
      </c>
      <c r="O68" s="5">
        <v>3</v>
      </c>
      <c r="P68" s="5">
        <v>0</v>
      </c>
      <c r="Q68" s="5">
        <v>14</v>
      </c>
    </row>
    <row r="69" spans="1:17">
      <c r="A69" s="4">
        <v>3</v>
      </c>
      <c r="B69" s="5">
        <v>11</v>
      </c>
      <c r="C69" s="5">
        <v>8</v>
      </c>
      <c r="D69" s="5">
        <v>12</v>
      </c>
      <c r="E69" s="5">
        <v>7</v>
      </c>
      <c r="F69" s="5">
        <v>1</v>
      </c>
      <c r="G69" s="5">
        <v>14</v>
      </c>
      <c r="H69" s="5">
        <v>2</v>
      </c>
      <c r="I69" s="5">
        <v>13</v>
      </c>
      <c r="J69" s="5">
        <v>6</v>
      </c>
      <c r="K69" s="5">
        <v>15</v>
      </c>
      <c r="L69" s="5">
        <v>0</v>
      </c>
      <c r="M69" s="5">
        <v>9</v>
      </c>
      <c r="N69" s="5">
        <v>10</v>
      </c>
      <c r="O69" s="5">
        <v>4</v>
      </c>
      <c r="P69" s="5">
        <v>5</v>
      </c>
      <c r="Q69" s="5">
        <v>3</v>
      </c>
    </row>
    <row r="71" spans="1:17">
      <c r="A71" s="4" t="s">
        <v>175</v>
      </c>
      <c r="B71" s="4">
        <v>0</v>
      </c>
      <c r="C71" s="4">
        <v>1</v>
      </c>
      <c r="D71" s="4">
        <v>2</v>
      </c>
      <c r="E71" s="4">
        <v>3</v>
      </c>
      <c r="F71" s="4">
        <v>4</v>
      </c>
      <c r="G71" s="4">
        <v>5</v>
      </c>
      <c r="H71" s="4">
        <v>6</v>
      </c>
      <c r="I71" s="4">
        <v>7</v>
      </c>
      <c r="J71" s="4">
        <v>8</v>
      </c>
      <c r="K71" s="4">
        <v>9</v>
      </c>
      <c r="L71" s="4">
        <v>10</v>
      </c>
      <c r="M71" s="4">
        <v>11</v>
      </c>
      <c r="N71" s="4">
        <v>12</v>
      </c>
      <c r="O71" s="4">
        <v>13</v>
      </c>
      <c r="P71" s="4">
        <v>14</v>
      </c>
      <c r="Q71" s="4">
        <v>15</v>
      </c>
    </row>
    <row r="72" spans="1:17">
      <c r="A72" s="4">
        <v>0</v>
      </c>
      <c r="B72" s="5">
        <v>12</v>
      </c>
      <c r="C72" s="5">
        <v>1</v>
      </c>
      <c r="D72" s="5">
        <v>10</v>
      </c>
      <c r="E72" s="5">
        <v>15</v>
      </c>
      <c r="F72" s="5">
        <v>9</v>
      </c>
      <c r="G72" s="5">
        <v>2</v>
      </c>
      <c r="H72" s="5">
        <v>6</v>
      </c>
      <c r="I72" s="5">
        <v>8</v>
      </c>
      <c r="J72" s="5">
        <v>0</v>
      </c>
      <c r="K72" s="5">
        <v>13</v>
      </c>
      <c r="L72" s="5">
        <v>3</v>
      </c>
      <c r="M72" s="5">
        <v>4</v>
      </c>
      <c r="N72" s="5">
        <v>14</v>
      </c>
      <c r="O72" s="5">
        <v>7</v>
      </c>
      <c r="P72" s="5">
        <v>5</v>
      </c>
      <c r="Q72" s="5">
        <v>11</v>
      </c>
    </row>
    <row r="73" spans="1:17">
      <c r="A73" s="4">
        <v>1</v>
      </c>
      <c r="B73" s="5">
        <v>10</v>
      </c>
      <c r="C73" s="5">
        <v>15</v>
      </c>
      <c r="D73" s="5">
        <v>4</v>
      </c>
      <c r="E73" s="5">
        <v>2</v>
      </c>
      <c r="F73" s="5">
        <v>7</v>
      </c>
      <c r="G73" s="5">
        <v>12</v>
      </c>
      <c r="H73" s="5">
        <v>9</v>
      </c>
      <c r="I73" s="5">
        <v>5</v>
      </c>
      <c r="J73" s="5">
        <v>6</v>
      </c>
      <c r="K73" s="5">
        <v>1</v>
      </c>
      <c r="L73" s="5">
        <v>13</v>
      </c>
      <c r="M73" s="5">
        <v>14</v>
      </c>
      <c r="N73" s="5">
        <v>0</v>
      </c>
      <c r="O73" s="5">
        <v>11</v>
      </c>
      <c r="P73" s="5">
        <v>3</v>
      </c>
      <c r="Q73" s="5">
        <v>8</v>
      </c>
    </row>
    <row r="74" spans="1:17">
      <c r="A74" s="4">
        <v>2</v>
      </c>
      <c r="B74" s="5">
        <v>9</v>
      </c>
      <c r="C74" s="5">
        <v>14</v>
      </c>
      <c r="D74" s="5">
        <v>15</v>
      </c>
      <c r="E74" s="5">
        <v>5</v>
      </c>
      <c r="F74" s="5">
        <v>2</v>
      </c>
      <c r="G74" s="5">
        <v>8</v>
      </c>
      <c r="H74" s="5">
        <v>12</v>
      </c>
      <c r="I74" s="5">
        <v>3</v>
      </c>
      <c r="J74" s="5">
        <v>7</v>
      </c>
      <c r="K74" s="5">
        <v>0</v>
      </c>
      <c r="L74" s="5">
        <v>4</v>
      </c>
      <c r="M74" s="5">
        <v>10</v>
      </c>
      <c r="N74" s="5">
        <v>1</v>
      </c>
      <c r="O74" s="5">
        <v>13</v>
      </c>
      <c r="P74" s="5">
        <v>11</v>
      </c>
      <c r="Q74" s="5">
        <v>6</v>
      </c>
    </row>
    <row r="75" spans="1:17">
      <c r="A75" s="4">
        <v>3</v>
      </c>
      <c r="B75" s="5">
        <v>4</v>
      </c>
      <c r="C75" s="5">
        <v>3</v>
      </c>
      <c r="D75" s="5">
        <v>2</v>
      </c>
      <c r="E75" s="5">
        <v>12</v>
      </c>
      <c r="F75" s="5">
        <v>9</v>
      </c>
      <c r="G75" s="5">
        <v>5</v>
      </c>
      <c r="H75" s="5">
        <v>15</v>
      </c>
      <c r="I75" s="5">
        <v>10</v>
      </c>
      <c r="J75" s="5">
        <v>11</v>
      </c>
      <c r="K75" s="5">
        <v>14</v>
      </c>
      <c r="L75" s="5">
        <v>1</v>
      </c>
      <c r="M75" s="5">
        <v>7</v>
      </c>
      <c r="N75" s="5">
        <v>6</v>
      </c>
      <c r="O75" s="5">
        <v>0</v>
      </c>
      <c r="P75" s="5">
        <v>8</v>
      </c>
      <c r="Q75" s="5">
        <v>13</v>
      </c>
    </row>
    <row r="77" spans="1:17">
      <c r="A77" s="4" t="s">
        <v>176</v>
      </c>
      <c r="B77" s="4">
        <v>0</v>
      </c>
      <c r="C77" s="4">
        <v>1</v>
      </c>
      <c r="D77" s="4">
        <v>2</v>
      </c>
      <c r="E77" s="4">
        <v>3</v>
      </c>
      <c r="F77" s="4">
        <v>4</v>
      </c>
      <c r="G77" s="4">
        <v>5</v>
      </c>
      <c r="H77" s="4">
        <v>6</v>
      </c>
      <c r="I77" s="4">
        <v>7</v>
      </c>
      <c r="J77" s="4">
        <v>8</v>
      </c>
      <c r="K77" s="4">
        <v>9</v>
      </c>
      <c r="L77" s="4">
        <v>10</v>
      </c>
      <c r="M77" s="4">
        <v>11</v>
      </c>
      <c r="N77" s="4">
        <v>12</v>
      </c>
      <c r="O77" s="4">
        <v>13</v>
      </c>
      <c r="P77" s="4">
        <v>14</v>
      </c>
      <c r="Q77" s="4">
        <v>15</v>
      </c>
    </row>
    <row r="78" spans="1:17">
      <c r="A78" s="4">
        <v>0</v>
      </c>
      <c r="B78" s="5">
        <v>4</v>
      </c>
      <c r="C78" s="5">
        <v>11</v>
      </c>
      <c r="D78" s="5">
        <v>2</v>
      </c>
      <c r="E78" s="5">
        <v>14</v>
      </c>
      <c r="F78" s="5">
        <v>15</v>
      </c>
      <c r="G78" s="5">
        <v>0</v>
      </c>
      <c r="H78" s="5">
        <v>8</v>
      </c>
      <c r="I78" s="5">
        <v>13</v>
      </c>
      <c r="J78" s="5">
        <v>3</v>
      </c>
      <c r="K78" s="5">
        <v>12</v>
      </c>
      <c r="L78" s="5">
        <v>9</v>
      </c>
      <c r="M78" s="5">
        <v>7</v>
      </c>
      <c r="N78" s="5">
        <v>5</v>
      </c>
      <c r="O78" s="5">
        <v>10</v>
      </c>
      <c r="P78" s="5">
        <v>6</v>
      </c>
      <c r="Q78" s="5">
        <v>1</v>
      </c>
    </row>
    <row r="79" spans="1:17">
      <c r="A79" s="4">
        <v>1</v>
      </c>
      <c r="B79" s="5">
        <v>13</v>
      </c>
      <c r="C79" s="5">
        <v>0</v>
      </c>
      <c r="D79" s="5">
        <v>11</v>
      </c>
      <c r="E79" s="5">
        <v>7</v>
      </c>
      <c r="F79" s="5">
        <v>4</v>
      </c>
      <c r="G79" s="5">
        <v>9</v>
      </c>
      <c r="H79" s="5">
        <v>1</v>
      </c>
      <c r="I79" s="5">
        <v>10</v>
      </c>
      <c r="J79" s="5">
        <v>14</v>
      </c>
      <c r="K79" s="5">
        <v>3</v>
      </c>
      <c r="L79" s="5">
        <v>5</v>
      </c>
      <c r="M79" s="5">
        <v>12</v>
      </c>
      <c r="N79" s="5">
        <v>2</v>
      </c>
      <c r="O79" s="5">
        <v>15</v>
      </c>
      <c r="P79" s="5">
        <v>8</v>
      </c>
      <c r="Q79" s="5">
        <v>6</v>
      </c>
    </row>
    <row r="80" spans="1:17">
      <c r="A80" s="4">
        <v>2</v>
      </c>
      <c r="B80" s="5">
        <v>1</v>
      </c>
      <c r="C80" s="5">
        <v>4</v>
      </c>
      <c r="D80" s="5">
        <v>11</v>
      </c>
      <c r="E80" s="5">
        <v>13</v>
      </c>
      <c r="F80" s="5">
        <v>12</v>
      </c>
      <c r="G80" s="5">
        <v>3</v>
      </c>
      <c r="H80" s="5">
        <v>7</v>
      </c>
      <c r="I80" s="5">
        <v>14</v>
      </c>
      <c r="J80" s="5">
        <v>10</v>
      </c>
      <c r="K80" s="5">
        <v>15</v>
      </c>
      <c r="L80" s="5">
        <v>6</v>
      </c>
      <c r="M80" s="5">
        <v>8</v>
      </c>
      <c r="N80" s="5">
        <v>0</v>
      </c>
      <c r="O80" s="5">
        <v>5</v>
      </c>
      <c r="P80" s="5">
        <v>9</v>
      </c>
      <c r="Q80" s="5">
        <v>2</v>
      </c>
    </row>
    <row r="81" spans="1:17">
      <c r="A81" s="4">
        <v>3</v>
      </c>
      <c r="B81" s="5">
        <v>6</v>
      </c>
      <c r="C81" s="5">
        <v>11</v>
      </c>
      <c r="D81" s="5">
        <v>13</v>
      </c>
      <c r="E81" s="5">
        <v>8</v>
      </c>
      <c r="F81" s="5">
        <v>1</v>
      </c>
      <c r="G81" s="5">
        <v>4</v>
      </c>
      <c r="H81" s="5">
        <v>10</v>
      </c>
      <c r="I81" s="5">
        <v>7</v>
      </c>
      <c r="J81" s="5">
        <v>9</v>
      </c>
      <c r="K81" s="5">
        <v>5</v>
      </c>
      <c r="L81" s="5">
        <v>0</v>
      </c>
      <c r="M81" s="5">
        <v>15</v>
      </c>
      <c r="N81" s="5">
        <v>14</v>
      </c>
      <c r="O81" s="5">
        <v>2</v>
      </c>
      <c r="P81" s="5">
        <v>3</v>
      </c>
      <c r="Q81" s="5">
        <v>12</v>
      </c>
    </row>
    <row r="83" spans="1:17">
      <c r="A83" s="4" t="s">
        <v>177</v>
      </c>
      <c r="B83" s="4">
        <v>0</v>
      </c>
      <c r="C83" s="4">
        <v>1</v>
      </c>
      <c r="D83" s="4">
        <v>2</v>
      </c>
      <c r="E83" s="4">
        <v>3</v>
      </c>
      <c r="F83" s="4">
        <v>4</v>
      </c>
      <c r="G83" s="4">
        <v>5</v>
      </c>
      <c r="H83" s="4">
        <v>6</v>
      </c>
      <c r="I83" s="4">
        <v>7</v>
      </c>
      <c r="J83" s="4">
        <v>8</v>
      </c>
      <c r="K83" s="4">
        <v>9</v>
      </c>
      <c r="L83" s="4">
        <v>10</v>
      </c>
      <c r="M83" s="4">
        <v>11</v>
      </c>
      <c r="N83" s="4">
        <v>12</v>
      </c>
      <c r="O83" s="4">
        <v>13</v>
      </c>
      <c r="P83" s="4">
        <v>14</v>
      </c>
      <c r="Q83" s="4">
        <v>15</v>
      </c>
    </row>
    <row r="84" spans="1:17">
      <c r="A84" s="4">
        <v>0</v>
      </c>
      <c r="B84" s="5">
        <v>13</v>
      </c>
      <c r="C84" s="5">
        <v>2</v>
      </c>
      <c r="D84" s="5">
        <v>8</v>
      </c>
      <c r="E84" s="5">
        <v>4</v>
      </c>
      <c r="F84" s="5">
        <v>6</v>
      </c>
      <c r="G84" s="5">
        <v>15</v>
      </c>
      <c r="H84" s="5">
        <v>11</v>
      </c>
      <c r="I84" s="5">
        <v>1</v>
      </c>
      <c r="J84" s="5">
        <v>10</v>
      </c>
      <c r="K84" s="5">
        <v>9</v>
      </c>
      <c r="L84" s="5">
        <v>3</v>
      </c>
      <c r="M84" s="5">
        <v>14</v>
      </c>
      <c r="N84" s="5">
        <v>5</v>
      </c>
      <c r="O84" s="5">
        <v>0</v>
      </c>
      <c r="P84" s="5">
        <v>12</v>
      </c>
      <c r="Q84" s="5">
        <v>7</v>
      </c>
    </row>
    <row r="85" spans="1:17">
      <c r="A85" s="4">
        <v>1</v>
      </c>
      <c r="B85" s="5">
        <v>1</v>
      </c>
      <c r="C85" s="5">
        <v>15</v>
      </c>
      <c r="D85" s="5">
        <v>13</v>
      </c>
      <c r="E85" s="5">
        <v>8</v>
      </c>
      <c r="F85" s="5">
        <v>10</v>
      </c>
      <c r="G85" s="5">
        <v>3</v>
      </c>
      <c r="H85" s="5">
        <v>7</v>
      </c>
      <c r="I85" s="5">
        <v>4</v>
      </c>
      <c r="J85" s="5">
        <v>12</v>
      </c>
      <c r="K85" s="5">
        <v>5</v>
      </c>
      <c r="L85" s="5">
        <v>6</v>
      </c>
      <c r="M85" s="5">
        <v>11</v>
      </c>
      <c r="N85" s="5">
        <v>0</v>
      </c>
      <c r="O85" s="5">
        <v>14</v>
      </c>
      <c r="P85" s="5">
        <v>9</v>
      </c>
      <c r="Q85" s="5">
        <v>2</v>
      </c>
    </row>
    <row r="86" spans="1:17">
      <c r="A86" s="4">
        <v>2</v>
      </c>
      <c r="B86" s="5">
        <v>7</v>
      </c>
      <c r="C86" s="5">
        <v>11</v>
      </c>
      <c r="D86" s="5">
        <v>4</v>
      </c>
      <c r="E86" s="5">
        <v>1</v>
      </c>
      <c r="F86" s="5">
        <v>9</v>
      </c>
      <c r="G86" s="5">
        <v>12</v>
      </c>
      <c r="H86" s="5">
        <v>14</v>
      </c>
      <c r="I86" s="5">
        <v>2</v>
      </c>
      <c r="J86" s="5">
        <v>0</v>
      </c>
      <c r="K86" s="5">
        <v>6</v>
      </c>
      <c r="L86" s="5">
        <v>10</v>
      </c>
      <c r="M86" s="5">
        <v>13</v>
      </c>
      <c r="N86" s="5">
        <v>15</v>
      </c>
      <c r="O86" s="5">
        <v>3</v>
      </c>
      <c r="P86" s="5">
        <v>5</v>
      </c>
      <c r="Q86" s="5">
        <v>8</v>
      </c>
    </row>
    <row r="87" spans="1:17">
      <c r="A87" s="4">
        <v>3</v>
      </c>
      <c r="B87" s="5">
        <v>2</v>
      </c>
      <c r="C87" s="5">
        <v>1</v>
      </c>
      <c r="D87" s="5">
        <v>14</v>
      </c>
      <c r="E87" s="5">
        <v>7</v>
      </c>
      <c r="F87" s="5">
        <v>4</v>
      </c>
      <c r="G87" s="5">
        <v>10</v>
      </c>
      <c r="H87" s="5">
        <v>8</v>
      </c>
      <c r="I87" s="5">
        <v>13</v>
      </c>
      <c r="J87" s="5">
        <v>15</v>
      </c>
      <c r="K87" s="5">
        <v>12</v>
      </c>
      <c r="L87" s="5">
        <v>9</v>
      </c>
      <c r="M87" s="5">
        <v>0</v>
      </c>
      <c r="N87" s="5">
        <v>3</v>
      </c>
      <c r="O87" s="5">
        <v>5</v>
      </c>
      <c r="P87" s="5">
        <v>6</v>
      </c>
      <c r="Q87" s="5">
        <v>11</v>
      </c>
    </row>
    <row r="88" spans="1:17">
      <c r="I88" s="2"/>
      <c r="J88" s="2"/>
      <c r="K88" s="2"/>
      <c r="L88" s="2"/>
    </row>
    <row r="89" spans="1:17">
      <c r="H89" s="5" t="s">
        <v>153</v>
      </c>
      <c r="I89" s="4">
        <v>1</v>
      </c>
      <c r="J89" s="4">
        <v>2</v>
      </c>
      <c r="K89" s="4">
        <v>3</v>
      </c>
      <c r="L89" s="4">
        <v>4</v>
      </c>
    </row>
    <row r="90" spans="1:17">
      <c r="H90" s="4">
        <v>1</v>
      </c>
      <c r="I90" s="5">
        <v>16</v>
      </c>
      <c r="J90" s="5">
        <v>7</v>
      </c>
      <c r="K90" s="5">
        <v>20</v>
      </c>
      <c r="L90" s="5">
        <v>21</v>
      </c>
    </row>
    <row r="91" spans="1:17">
      <c r="H91" s="4">
        <v>2</v>
      </c>
      <c r="I91" s="5">
        <v>29</v>
      </c>
      <c r="J91" s="5">
        <v>12</v>
      </c>
      <c r="K91" s="5">
        <v>28</v>
      </c>
      <c r="L91" s="5">
        <v>17</v>
      </c>
    </row>
    <row r="92" spans="1:17">
      <c r="H92" s="4">
        <v>3</v>
      </c>
      <c r="I92" s="5">
        <v>1</v>
      </c>
      <c r="J92" s="5">
        <v>15</v>
      </c>
      <c r="K92" s="5">
        <v>23</v>
      </c>
      <c r="L92" s="5">
        <v>26</v>
      </c>
    </row>
    <row r="93" spans="1:17">
      <c r="H93" s="4">
        <v>4</v>
      </c>
      <c r="I93" s="5">
        <v>5</v>
      </c>
      <c r="J93" s="5">
        <v>18</v>
      </c>
      <c r="K93" s="5">
        <v>31</v>
      </c>
      <c r="L93" s="5">
        <v>10</v>
      </c>
    </row>
    <row r="94" spans="1:17">
      <c r="H94" s="4">
        <v>5</v>
      </c>
      <c r="I94" s="5">
        <v>2</v>
      </c>
      <c r="J94" s="5">
        <v>8</v>
      </c>
      <c r="K94" s="5">
        <v>24</v>
      </c>
      <c r="L94" s="5">
        <v>14</v>
      </c>
    </row>
    <row r="95" spans="1:17">
      <c r="H95" s="4">
        <v>6</v>
      </c>
      <c r="I95" s="5">
        <v>32</v>
      </c>
      <c r="J95" s="5">
        <v>27</v>
      </c>
      <c r="K95" s="5">
        <v>3</v>
      </c>
      <c r="L95" s="5">
        <v>9</v>
      </c>
    </row>
    <row r="96" spans="1:17">
      <c r="H96" s="4">
        <v>7</v>
      </c>
      <c r="I96" s="5">
        <v>19</v>
      </c>
      <c r="J96" s="5">
        <v>13</v>
      </c>
      <c r="K96" s="5">
        <v>30</v>
      </c>
      <c r="L96" s="5">
        <v>6</v>
      </c>
    </row>
    <row r="97" spans="1:12">
      <c r="H97" s="4">
        <v>8</v>
      </c>
      <c r="I97" s="5">
        <v>22</v>
      </c>
      <c r="J97" s="5">
        <v>11</v>
      </c>
      <c r="K97" s="5">
        <v>4</v>
      </c>
      <c r="L97" s="5">
        <v>25</v>
      </c>
    </row>
    <row r="99" spans="1:12">
      <c r="A99" s="3" t="s">
        <v>178</v>
      </c>
      <c r="B99" s="4">
        <v>1</v>
      </c>
      <c r="C99" s="4">
        <v>2</v>
      </c>
      <c r="D99" s="4">
        <v>3</v>
      </c>
      <c r="E99" s="4">
        <v>4</v>
      </c>
      <c r="F99" s="4">
        <v>5</v>
      </c>
      <c r="G99" s="4">
        <v>6</v>
      </c>
      <c r="H99" s="4">
        <v>7</v>
      </c>
      <c r="I99" s="4">
        <v>8</v>
      </c>
    </row>
    <row r="100" spans="1:12">
      <c r="A100" s="4">
        <v>1</v>
      </c>
      <c r="B100" s="12">
        <v>40</v>
      </c>
      <c r="C100" s="12">
        <v>8</v>
      </c>
      <c r="D100" s="12">
        <v>48</v>
      </c>
      <c r="E100" s="12">
        <v>16</v>
      </c>
      <c r="F100" s="12">
        <v>56</v>
      </c>
      <c r="G100" s="12">
        <v>24</v>
      </c>
      <c r="H100" s="4">
        <v>64</v>
      </c>
      <c r="I100" s="12">
        <v>32</v>
      </c>
    </row>
    <row r="101" spans="1:12">
      <c r="A101" s="4">
        <v>2</v>
      </c>
      <c r="B101" s="12">
        <v>39</v>
      </c>
      <c r="C101" s="12">
        <v>7</v>
      </c>
      <c r="D101" s="12">
        <v>47</v>
      </c>
      <c r="E101" s="12">
        <v>15</v>
      </c>
      <c r="F101" s="12">
        <v>55</v>
      </c>
      <c r="G101" s="12">
        <v>23</v>
      </c>
      <c r="H101" s="4">
        <v>63</v>
      </c>
      <c r="I101" s="12">
        <v>31</v>
      </c>
    </row>
    <row r="102" spans="1:12">
      <c r="A102" s="4">
        <v>3</v>
      </c>
      <c r="B102" s="12">
        <v>38</v>
      </c>
      <c r="C102" s="12">
        <v>6</v>
      </c>
      <c r="D102" s="12">
        <v>46</v>
      </c>
      <c r="E102" s="12">
        <v>14</v>
      </c>
      <c r="F102" s="12">
        <v>54</v>
      </c>
      <c r="G102" s="12">
        <v>22</v>
      </c>
      <c r="H102" s="4">
        <v>62</v>
      </c>
      <c r="I102" s="12">
        <v>30</v>
      </c>
    </row>
    <row r="103" spans="1:12">
      <c r="A103" s="4">
        <v>4</v>
      </c>
      <c r="B103" s="12">
        <v>37</v>
      </c>
      <c r="C103" s="12">
        <v>5</v>
      </c>
      <c r="D103" s="12">
        <v>45</v>
      </c>
      <c r="E103" s="12">
        <v>13</v>
      </c>
      <c r="F103" s="12">
        <v>53</v>
      </c>
      <c r="G103" s="12">
        <v>21</v>
      </c>
      <c r="H103" s="4">
        <v>61</v>
      </c>
      <c r="I103" s="12">
        <v>29</v>
      </c>
    </row>
    <row r="104" spans="1:12">
      <c r="A104" s="4">
        <v>5</v>
      </c>
      <c r="B104" s="12">
        <v>36</v>
      </c>
      <c r="C104" s="12">
        <v>4</v>
      </c>
      <c r="D104" s="12">
        <v>44</v>
      </c>
      <c r="E104" s="12">
        <v>12</v>
      </c>
      <c r="F104" s="12">
        <v>52</v>
      </c>
      <c r="G104" s="12">
        <v>20</v>
      </c>
      <c r="H104" s="4">
        <v>60</v>
      </c>
      <c r="I104" s="12">
        <v>28</v>
      </c>
    </row>
    <row r="105" spans="1:12">
      <c r="A105" s="4">
        <v>6</v>
      </c>
      <c r="B105" s="12">
        <v>35</v>
      </c>
      <c r="C105" s="12">
        <v>3</v>
      </c>
      <c r="D105" s="12">
        <v>43</v>
      </c>
      <c r="E105" s="12">
        <v>11</v>
      </c>
      <c r="F105" s="12">
        <v>51</v>
      </c>
      <c r="G105" s="12">
        <v>19</v>
      </c>
      <c r="H105" s="4">
        <v>59</v>
      </c>
      <c r="I105" s="12">
        <v>27</v>
      </c>
    </row>
    <row r="106" spans="1:12">
      <c r="A106" s="4">
        <v>7</v>
      </c>
      <c r="B106" s="12">
        <v>34</v>
      </c>
      <c r="C106" s="12">
        <v>2</v>
      </c>
      <c r="D106" s="12">
        <v>42</v>
      </c>
      <c r="E106" s="12">
        <v>10</v>
      </c>
      <c r="F106" s="12">
        <v>50</v>
      </c>
      <c r="G106" s="12">
        <v>18</v>
      </c>
      <c r="H106" s="4">
        <v>58</v>
      </c>
      <c r="I106" s="12">
        <v>26</v>
      </c>
    </row>
    <row r="107" spans="1:12">
      <c r="A107" s="4">
        <v>8</v>
      </c>
      <c r="B107" s="12">
        <v>33</v>
      </c>
      <c r="C107" s="12">
        <v>1</v>
      </c>
      <c r="D107" s="12">
        <v>41</v>
      </c>
      <c r="E107" s="12">
        <v>9</v>
      </c>
      <c r="F107" s="12">
        <v>49</v>
      </c>
      <c r="G107" s="12">
        <v>17</v>
      </c>
      <c r="H107" s="4">
        <v>57</v>
      </c>
      <c r="I107" s="12">
        <v>25</v>
      </c>
    </row>
    <row r="108" spans="1:12">
      <c r="B108" s="1"/>
      <c r="C108" s="1"/>
      <c r="D108" s="1"/>
      <c r="E108" s="1"/>
      <c r="F108" s="1"/>
      <c r="G108" s="1"/>
      <c r="H108" s="1"/>
      <c r="I108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82C611A8CD84FBF876E7A6621C375" ma:contentTypeVersion="11" ma:contentTypeDescription="Create a new document." ma:contentTypeScope="" ma:versionID="8533368af1698cea2ea4ce8a0bbf3f7e">
  <xsd:schema xmlns:xsd="http://www.w3.org/2001/XMLSchema" xmlns:xs="http://www.w3.org/2001/XMLSchema" xmlns:p="http://schemas.microsoft.com/office/2006/metadata/properties" xmlns:ns2="32efc831-e45c-4db2-bb1d-1d0e28517817" xmlns:ns3="f9542e68-c41e-477a-bf81-9e0cb6fbdef6" targetNamespace="http://schemas.microsoft.com/office/2006/metadata/properties" ma:root="true" ma:fieldsID="48219a4e719454934dd194f3500a21fb" ns2:_="" ns3:_="">
    <xsd:import namespace="32efc831-e45c-4db2-bb1d-1d0e28517817"/>
    <xsd:import namespace="f9542e68-c41e-477a-bf81-9e0cb6fbde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fc831-e45c-4db2-bb1d-1d0e28517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8ae16c-7ba9-48a6-8659-c1e98b63ac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42e68-c41e-477a-bf81-9e0cb6fbde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3dd7c6-7239-46b5-ac84-7c7c78634586}" ma:internalName="TaxCatchAll" ma:showField="CatchAllData" ma:web="f9542e68-c41e-477a-bf81-9e0cb6fbde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efc831-e45c-4db2-bb1d-1d0e28517817">
      <Terms xmlns="http://schemas.microsoft.com/office/infopath/2007/PartnerControls"/>
    </lcf76f155ced4ddcb4097134ff3c332f>
    <TaxCatchAll xmlns="f9542e68-c41e-477a-bf81-9e0cb6fbdef6" xsi:nil="true"/>
  </documentManagement>
</p:properties>
</file>

<file path=customXml/itemProps1.xml><?xml version="1.0" encoding="utf-8"?>
<ds:datastoreItem xmlns:ds="http://schemas.openxmlformats.org/officeDocument/2006/customXml" ds:itemID="{6DCED094-C793-417F-BC0D-B572E7D4FC96}"/>
</file>

<file path=customXml/itemProps2.xml><?xml version="1.0" encoding="utf-8"?>
<ds:datastoreItem xmlns:ds="http://schemas.openxmlformats.org/officeDocument/2006/customXml" ds:itemID="{62839E7A-219E-4DD3-8B2C-FE6AB2A19D75}"/>
</file>

<file path=customXml/itemProps3.xml><?xml version="1.0" encoding="utf-8"?>
<ds:datastoreItem xmlns:ds="http://schemas.openxmlformats.org/officeDocument/2006/customXml" ds:itemID="{C15F6090-CCF0-4882-9569-65C3F8142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 ALGORITHM</dc:title>
  <dc:subject>IT SECURITY</dc:subject>
  <dc:creator>EDJIE M. DE LOS REYES</dc:creator>
  <cp:keywords/>
  <dc:description/>
  <cp:lastModifiedBy>Rolando III Arenas</cp:lastModifiedBy>
  <cp:revision/>
  <dcterms:created xsi:type="dcterms:W3CDTF">2016-07-31T23:44:56Z</dcterms:created>
  <dcterms:modified xsi:type="dcterms:W3CDTF">2026-04-27T13:01:39Z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0x010100A0B82C611A8CD84FBF876E7A6621C375</vt:lpwstr>
  </property>
  <property fmtid="{D5CDD505-2E9C-101B-9397-08002B2CF9AE}" pid="3" name="MediaServiceImageTags">
    <vt:lpwstr/>
  </property>
</Properties>
</file>